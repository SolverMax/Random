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filterPrivacy="1" defaultThemeVersion="166925"/>
  <xr:revisionPtr revIDLastSave="5475" documentId="8_{A941DAAD-A511-4793-9E22-3EA30C04B857}" xr6:coauthVersionLast="47" xr6:coauthVersionMax="47" xr10:uidLastSave="{D5E2E8B1-2A42-4C04-8952-ADE5E0D57FE4}"/>
  <bookViews>
    <workbookView xWindow="-120" yWindow="-120" windowWidth="29040" windowHeight="15720" xr2:uid="{324EC751-9C60-40DD-8432-DBCA825DD949}"/>
  </bookViews>
  <sheets>
    <sheet name="Setup" sheetId="1" r:id="rId1"/>
    <sheet name="Test 1" sheetId="2" r:id="rId2"/>
    <sheet name="Test 2" sheetId="3" r:id="rId3"/>
    <sheet name="Test 3" sheetId="4" r:id="rId4"/>
    <sheet name="Other" sheetId="5" r:id="rId5"/>
  </sheets>
  <definedNames>
    <definedName name="solver_cvg" localSheetId="0" hidden="1">0.0001</definedName>
    <definedName name="solver_cvg" localSheetId="1" hidden="1">0.0001</definedName>
    <definedName name="solver_cvg" localSheetId="2" hidden="1">0.0001</definedName>
    <definedName name="solver_cvg" localSheetId="3" hidden="1">0.0001</definedName>
    <definedName name="solver_drv" localSheetId="0" hidden="1">1</definedName>
    <definedName name="solver_drv" localSheetId="1" hidden="1">1</definedName>
    <definedName name="solver_drv" localSheetId="2" hidden="1">1</definedName>
    <definedName name="solver_drv" localSheetId="3" hidden="1">1</definedName>
    <definedName name="solver_eng" localSheetId="0" hidden="1">1</definedName>
    <definedName name="solver_eng" localSheetId="1" hidden="1">1</definedName>
    <definedName name="solver_eng" localSheetId="2" hidden="1">1</definedName>
    <definedName name="solver_eng" localSheetId="3" hidden="1">1</definedName>
    <definedName name="solver_est" localSheetId="0" hidden="1">1</definedName>
    <definedName name="solver_est" localSheetId="1" hidden="1">1</definedName>
    <definedName name="solver_est" localSheetId="2" hidden="1">1</definedName>
    <definedName name="solver_est" localSheetId="3" hidden="1">1</definedName>
    <definedName name="solver_itr" localSheetId="0" hidden="1">2147483647</definedName>
    <definedName name="solver_itr" localSheetId="1" hidden="1">2147483647</definedName>
    <definedName name="solver_itr" localSheetId="2" hidden="1">2147483647</definedName>
    <definedName name="solver_itr" localSheetId="3" hidden="1">2147483647</definedName>
    <definedName name="solver_mip" localSheetId="0" hidden="1">2147483647</definedName>
    <definedName name="solver_mip" localSheetId="1" hidden="1">2147483647</definedName>
    <definedName name="solver_mip" localSheetId="2" hidden="1">2147483647</definedName>
    <definedName name="solver_mip" localSheetId="3" hidden="1">2147483647</definedName>
    <definedName name="solver_mni" localSheetId="0" hidden="1">30</definedName>
    <definedName name="solver_mni" localSheetId="1" hidden="1">30</definedName>
    <definedName name="solver_mni" localSheetId="2" hidden="1">30</definedName>
    <definedName name="solver_mni" localSheetId="3" hidden="1">30</definedName>
    <definedName name="solver_mrt" localSheetId="0" hidden="1">0.075</definedName>
    <definedName name="solver_mrt" localSheetId="1" hidden="1">0.075</definedName>
    <definedName name="solver_mrt" localSheetId="2" hidden="1">0.075</definedName>
    <definedName name="solver_mrt" localSheetId="3" hidden="1">0.075</definedName>
    <definedName name="solver_msl" localSheetId="0" hidden="1">2</definedName>
    <definedName name="solver_msl" localSheetId="1" hidden="1">2</definedName>
    <definedName name="solver_msl" localSheetId="2" hidden="1">2</definedName>
    <definedName name="solver_msl" localSheetId="3" hidden="1">2</definedName>
    <definedName name="solver_neg" localSheetId="0" hidden="1">1</definedName>
    <definedName name="solver_neg" localSheetId="1" hidden="1">1</definedName>
    <definedName name="solver_neg" localSheetId="2" hidden="1">1</definedName>
    <definedName name="solver_neg" localSheetId="3" hidden="1">1</definedName>
    <definedName name="solver_nod" localSheetId="0" hidden="1">2147483647</definedName>
    <definedName name="solver_nod" localSheetId="1" hidden="1">2147483647</definedName>
    <definedName name="solver_nod" localSheetId="2" hidden="1">2147483647</definedName>
    <definedName name="solver_nod" localSheetId="3" hidden="1">2147483647</definedName>
    <definedName name="solver_num" localSheetId="0" hidden="1">0</definedName>
    <definedName name="solver_num" localSheetId="1" hidden="1">0</definedName>
    <definedName name="solver_num" localSheetId="2" hidden="1">0</definedName>
    <definedName name="solver_num" localSheetId="3" hidden="1">0</definedName>
    <definedName name="solver_nwt" localSheetId="0" hidden="1">1</definedName>
    <definedName name="solver_nwt" localSheetId="1" hidden="1">1</definedName>
    <definedName name="solver_nwt" localSheetId="2" hidden="1">1</definedName>
    <definedName name="solver_nwt" localSheetId="3" hidden="1">1</definedName>
    <definedName name="solver_opt" localSheetId="0" hidden="1">Setup!$A$1</definedName>
    <definedName name="solver_opt" localSheetId="1" hidden="1">'Test 1'!$A$1</definedName>
    <definedName name="solver_opt" localSheetId="2" hidden="1">'Test 2'!$A$1</definedName>
    <definedName name="solver_opt" localSheetId="3" hidden="1">'Test 3'!$A$1</definedName>
    <definedName name="solver_pre" localSheetId="0" hidden="1">0.000001</definedName>
    <definedName name="solver_pre" localSheetId="1" hidden="1">0.000001</definedName>
    <definedName name="solver_pre" localSheetId="2" hidden="1">0.000001</definedName>
    <definedName name="solver_pre" localSheetId="3" hidden="1">0.000001</definedName>
    <definedName name="solver_rbv" localSheetId="0" hidden="1">1</definedName>
    <definedName name="solver_rbv" localSheetId="1" hidden="1">1</definedName>
    <definedName name="solver_rbv" localSheetId="2" hidden="1">1</definedName>
    <definedName name="solver_rbv" localSheetId="3" hidden="1">1</definedName>
    <definedName name="solver_rlx" localSheetId="0" hidden="1">2</definedName>
    <definedName name="solver_rlx" localSheetId="1" hidden="1">2</definedName>
    <definedName name="solver_rlx" localSheetId="2" hidden="1">2</definedName>
    <definedName name="solver_rlx" localSheetId="3" hidden="1">2</definedName>
    <definedName name="solver_rsd" localSheetId="0" hidden="1">0</definedName>
    <definedName name="solver_rsd" localSheetId="1" hidden="1">0</definedName>
    <definedName name="solver_rsd" localSheetId="2" hidden="1">0</definedName>
    <definedName name="solver_rsd" localSheetId="3" hidden="1">0</definedName>
    <definedName name="solver_scl" localSheetId="0" hidden="1">1</definedName>
    <definedName name="solver_scl" localSheetId="1" hidden="1">1</definedName>
    <definedName name="solver_scl" localSheetId="2" hidden="1">1</definedName>
    <definedName name="solver_scl" localSheetId="3" hidden="1">1</definedName>
    <definedName name="solver_sho" localSheetId="0" hidden="1">2</definedName>
    <definedName name="solver_sho" localSheetId="1" hidden="1">2</definedName>
    <definedName name="solver_sho" localSheetId="2" hidden="1">2</definedName>
    <definedName name="solver_sho" localSheetId="3" hidden="1">2</definedName>
    <definedName name="solver_ssz" localSheetId="0" hidden="1">100</definedName>
    <definedName name="solver_ssz" localSheetId="1" hidden="1">100</definedName>
    <definedName name="solver_ssz" localSheetId="2" hidden="1">100</definedName>
    <definedName name="solver_ssz" localSheetId="3" hidden="1">100</definedName>
    <definedName name="solver_tim" localSheetId="0" hidden="1">2147483647</definedName>
    <definedName name="solver_tim" localSheetId="1" hidden="1">2147483647</definedName>
    <definedName name="solver_tim" localSheetId="2" hidden="1">2147483647</definedName>
    <definedName name="solver_tim" localSheetId="3" hidden="1">2147483647</definedName>
    <definedName name="solver_tol" localSheetId="0" hidden="1">0</definedName>
    <definedName name="solver_tol" localSheetId="1" hidden="1">0</definedName>
    <definedName name="solver_tol" localSheetId="2" hidden="1">0</definedName>
    <definedName name="solver_tol" localSheetId="3" hidden="1">0</definedName>
    <definedName name="solver_typ" localSheetId="0" hidden="1">1</definedName>
    <definedName name="solver_typ" localSheetId="1" hidden="1">1</definedName>
    <definedName name="solver_typ" localSheetId="2" hidden="1">1</definedName>
    <definedName name="solver_typ" localSheetId="3" hidden="1">1</definedName>
    <definedName name="solver_val" localSheetId="0" hidden="1">0</definedName>
    <definedName name="solver_val" localSheetId="1" hidden="1">0</definedName>
    <definedName name="solver_val" localSheetId="2" hidden="1">0</definedName>
    <definedName name="solver_val" localSheetId="3" hidden="1">0</definedName>
    <definedName name="solver_ver" localSheetId="0" hidden="1">3</definedName>
    <definedName name="solver_ver" localSheetId="1" hidden="1">3</definedName>
    <definedName name="solver_ver" localSheetId="2" hidden="1">3</definedName>
    <definedName name="solver_ver" localSheetId="3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4" i="4" l="1"/>
  <c r="B14" i="4"/>
  <c r="D13" i="4"/>
  <c r="D12" i="4"/>
  <c r="D11" i="4"/>
  <c r="D10" i="4"/>
  <c r="D9" i="4"/>
  <c r="D8" i="4"/>
  <c r="D7" i="4"/>
  <c r="D6" i="4"/>
  <c r="D5" i="4"/>
  <c r="D4" i="4"/>
  <c r="B4" i="3"/>
  <c r="D4" i="3" s="1"/>
  <c r="B5" i="3"/>
  <c r="B6" i="3"/>
  <c r="D6" i="3" s="1"/>
  <c r="B7" i="3"/>
  <c r="D7" i="3" s="1"/>
  <c r="B8" i="3"/>
  <c r="D8" i="3" s="1"/>
  <c r="B9" i="3"/>
  <c r="D9" i="3" s="1"/>
  <c r="B10" i="3"/>
  <c r="D10" i="3" s="1"/>
  <c r="B11" i="3"/>
  <c r="D11" i="3" s="1"/>
  <c r="B12" i="3"/>
  <c r="D12" i="3" s="1"/>
  <c r="B13" i="3"/>
  <c r="D13" i="3" s="1"/>
  <c r="B14" i="2"/>
  <c r="D13" i="2"/>
  <c r="D12" i="2"/>
  <c r="D11" i="2"/>
  <c r="D10" i="2"/>
  <c r="D9" i="2"/>
  <c r="D8" i="2"/>
  <c r="D7" i="2"/>
  <c r="D6" i="2"/>
  <c r="D5" i="2"/>
  <c r="D4" i="2"/>
  <c r="D14" i="2" s="1"/>
  <c r="C14" i="2" s="1"/>
  <c r="C14" i="1"/>
  <c r="D14" i="1"/>
  <c r="B14" i="1"/>
  <c r="D5" i="1"/>
  <c r="D6" i="1"/>
  <c r="D7" i="1"/>
  <c r="D8" i="1"/>
  <c r="D9" i="1"/>
  <c r="D10" i="1"/>
  <c r="D11" i="1"/>
  <c r="D12" i="1"/>
  <c r="D13" i="1"/>
  <c r="D4" i="1"/>
  <c r="C14" i="4" l="1"/>
  <c r="D5" i="3"/>
  <c r="D14" i="3" s="1"/>
  <c r="B14" i="3"/>
  <c r="C14" i="3" l="1"/>
</calcChain>
</file>

<file path=xl/sharedStrings.xml><?xml version="1.0" encoding="utf-8"?>
<sst xmlns="http://schemas.openxmlformats.org/spreadsheetml/2006/main" count="25" uniqueCount="10">
  <si>
    <t>Item</t>
  </si>
  <si>
    <t>Total</t>
  </si>
  <si>
    <t>Units</t>
  </si>
  <si>
    <t>$/Unit</t>
  </si>
  <si>
    <t>$</t>
  </si>
  <si>
    <t>Setup for initial tests</t>
  </si>
  <si>
    <t>Test 1: Define data units</t>
  </si>
  <si>
    <t>Test 2: Change data to formula using RANDBETWEEN</t>
  </si>
  <si>
    <t>Test 3: Change to =SUM(…)^2</t>
  </si>
  <si>
    <t>Other observations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</si>
</sst>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6" x14ac:knownFonts="1">
    <font>
      <sz val="11"/>
      <color theme="1"/>
      <name val="Aptos"/>
      <family val="2"/>
    </font>
    <font>
      <sz val="11"/>
      <color rgb="FF3F3F76"/>
      <name val="Calibri Light"/>
      <family val="2"/>
    </font>
    <font>
      <sz val="11"/>
      <color rgb="FFFF0000"/>
      <name val="Calibri Light"/>
      <family val="2"/>
    </font>
    <font>
      <u/>
      <sz val="16"/>
      <color theme="1"/>
      <name val="Aptos SemiBold"/>
      <family val="2"/>
    </font>
    <font>
      <sz val="12"/>
      <name val="Aptos SemiBold"/>
      <family val="2"/>
    </font>
    <font>
      <sz val="11"/>
      <color theme="4" tint="-0.24994659260841701"/>
      <name val="Aptos"/>
      <family val="2"/>
    </font>
    <font>
      <sz val="11"/>
      <color theme="5" tint="-0.24994659260841701"/>
      <name val="Aptos"/>
      <family val="2"/>
    </font>
    <font>
      <sz val="11"/>
      <color theme="9"/>
      <name val="Aptos"/>
      <family val="2"/>
    </font>
    <font>
      <sz val="11"/>
      <color rgb="FFFF0000"/>
      <name val="Aptos"/>
      <family val="2"/>
    </font>
    <font>
      <sz val="11"/>
      <color rgb="FF9C0006"/>
      <name val="Aptos"/>
      <family val="2"/>
    </font>
    <font>
      <sz val="11"/>
      <color rgb="FF006100"/>
      <name val="Aptos"/>
      <family val="2"/>
    </font>
    <font>
      <sz val="11"/>
      <color rgb="FF9C5700"/>
      <name val="Aptos"/>
      <family val="2"/>
    </font>
    <font>
      <sz val="11"/>
      <name val="Aptos SemiBold"/>
      <family val="2"/>
    </font>
    <font>
      <sz val="11"/>
      <color theme="1"/>
      <name val="Aptos"/>
      <family val="2"/>
    </font>
    <font>
      <sz val="11"/>
      <color theme="1"/>
      <name val="Calibri"/>
      <family val="2"/>
    </font>
    <font>
      <u/>
      <sz val="16"/>
      <color theme="1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double">
        <color rgb="FF00B0F0"/>
      </left>
      <right style="double">
        <color rgb="FF00B0F0"/>
      </right>
      <top style="double">
        <color rgb="FF00B0F0"/>
      </top>
      <bottom style="double">
        <color rgb="FF00B0F0"/>
      </bottom>
      <diagonal/>
    </border>
    <border>
      <left style="double">
        <color rgb="FF00B0F0"/>
      </left>
      <right style="double">
        <color rgb="FF00B0F0"/>
      </right>
      <top style="double">
        <color rgb="FF00B0F0"/>
      </top>
      <bottom/>
      <diagonal/>
    </border>
    <border>
      <left style="double">
        <color rgb="FF00B0F0"/>
      </left>
      <right style="double">
        <color rgb="FF00B0F0"/>
      </right>
      <top/>
      <bottom/>
      <diagonal/>
    </border>
    <border>
      <left style="double">
        <color rgb="FF00B0F0"/>
      </left>
      <right/>
      <top style="double">
        <color rgb="FF00B0F0"/>
      </top>
      <bottom style="double">
        <color rgb="FF00B0F0"/>
      </bottom>
      <diagonal/>
    </border>
    <border>
      <left style="double">
        <color rgb="FF00B0F0"/>
      </left>
      <right/>
      <top style="double">
        <color rgb="FF00B0F0"/>
      </top>
      <bottom/>
      <diagonal/>
    </border>
    <border>
      <left style="double">
        <color rgb="FF00B0F0"/>
      </left>
      <right/>
      <top/>
      <bottom/>
      <diagonal/>
    </border>
    <border>
      <left/>
      <right style="double">
        <color rgb="FF00B0F0"/>
      </right>
      <top style="double">
        <color rgb="FF00B0F0"/>
      </top>
      <bottom style="double">
        <color rgb="FF00B0F0"/>
      </bottom>
      <diagonal/>
    </border>
    <border>
      <left/>
      <right/>
      <top style="double">
        <color rgb="FF00B0F0"/>
      </top>
      <bottom/>
      <diagonal/>
    </border>
    <border>
      <left style="double">
        <color rgb="FFFFEB3B"/>
      </left>
      <right style="double">
        <color rgb="FFFFEB3B"/>
      </right>
      <top style="double">
        <color rgb="FFFFEB3B"/>
      </top>
      <bottom style="double">
        <color rgb="FFFFEB3B"/>
      </bottom>
      <diagonal/>
    </border>
    <border>
      <left style="double">
        <color rgb="FFD32F2F"/>
      </left>
      <right style="double">
        <color rgb="FFD32F2F"/>
      </right>
      <top style="double">
        <color rgb="FFD32F2F"/>
      </top>
      <bottom/>
      <diagonal/>
    </border>
    <border>
      <left style="double">
        <color rgb="FFFFEB3B"/>
      </left>
      <right style="double">
        <color rgb="FFFFEB3B"/>
      </right>
      <top style="double">
        <color rgb="FFFFEB3B"/>
      </top>
      <bottom/>
      <diagonal/>
    </border>
    <border>
      <left style="double">
        <color rgb="FFD32F2F"/>
      </left>
      <right/>
      <top style="double">
        <color rgb="FFD32F2F"/>
      </top>
      <bottom style="double">
        <color rgb="FFD32F2F"/>
      </bottom>
      <diagonal/>
    </border>
    <border>
      <left/>
      <right style="double">
        <color rgb="FFFFEB3B"/>
      </right>
      <top style="double">
        <color rgb="FFFFEB3B"/>
      </top>
      <bottom style="double">
        <color rgb="FFFFEB3B"/>
      </bottom>
      <diagonal/>
    </border>
  </borders>
  <cellStyleXfs count="15">
    <xf numFmtId="0" fontId="0" fillId="0" borderId="0"/>
    <xf numFmtId="0" fontId="3" fillId="0" borderId="0" applyNumberFormat="0" applyFill="0" applyAlignment="0" applyProtection="0"/>
    <xf numFmtId="0" fontId="4" fillId="0" borderId="0" applyNumberFormat="0" applyFill="0" applyAlignment="0" applyProtection="0"/>
    <xf numFmtId="0" fontId="1" fillId="2" borderId="0" applyNumberFormat="0" applyAlignment="0" applyProtection="0"/>
    <xf numFmtId="0" fontId="8" fillId="3" borderId="0" applyNumberFormat="0" applyBorder="0" applyAlignment="0"/>
    <xf numFmtId="0" fontId="7" fillId="0" borderId="0" applyNumberFormat="0" applyFill="0" applyBorder="0" applyAlignment="0"/>
    <xf numFmtId="0" fontId="2" fillId="0" borderId="0" applyNumberFormat="0" applyFill="0" applyBorder="0" applyAlignment="0" applyProtection="0"/>
    <xf numFmtId="0" fontId="5" fillId="2" borderId="0"/>
    <xf numFmtId="0" fontId="6" fillId="4" borderId="0"/>
    <xf numFmtId="0" fontId="12" fillId="0" borderId="0" applyNumberFormat="0" applyFill="0" applyAlignment="0" applyProtection="0"/>
    <xf numFmtId="0" fontId="10" fillId="5" borderId="0" applyNumberFormat="0" applyBorder="0" applyAlignment="0" applyProtection="0"/>
    <xf numFmtId="0" fontId="9" fillId="6" borderId="0" applyNumberFormat="0" applyBorder="0" applyAlignment="0" applyProtection="0"/>
    <xf numFmtId="0" fontId="11" fillId="7" borderId="0" applyNumberFormat="0" applyBorder="0" applyAlignment="0" applyProtection="0"/>
    <xf numFmtId="43" fontId="13" fillId="0" borderId="0" applyFont="0" applyFill="0" applyBorder="0" applyAlignment="0" applyProtection="0"/>
    <xf numFmtId="0" fontId="14" fillId="0" borderId="0"/>
  </cellStyleXfs>
  <cellXfs count="26">
    <xf numFmtId="0" fontId="0" fillId="0" borderId="0" xfId="0"/>
    <xf numFmtId="0" fontId="0" fillId="0" borderId="1" xfId="0" applyBorder="1" applyAlignment="1">
      <alignment horizontal="right"/>
    </xf>
    <xf numFmtId="4" fontId="0" fillId="0" borderId="2" xfId="0" applyNumberFormat="1" applyBorder="1" applyAlignment="1">
      <alignment horizontal="right"/>
    </xf>
    <xf numFmtId="4" fontId="0" fillId="0" borderId="2" xfId="13" applyNumberFormat="1" applyFont="1" applyBorder="1"/>
    <xf numFmtId="3" fontId="5" fillId="2" borderId="0" xfId="7" applyNumberFormat="1"/>
    <xf numFmtId="0" fontId="0" fillId="0" borderId="0" xfId="0" applyAlignment="1">
      <alignment horizontal="right"/>
    </xf>
    <xf numFmtId="4" fontId="0" fillId="0" borderId="0" xfId="13" applyNumberFormat="1" applyFont="1" applyBorder="1"/>
    <xf numFmtId="4" fontId="5" fillId="2" borderId="0" xfId="7" applyNumberFormat="1"/>
    <xf numFmtId="3" fontId="0" fillId="0" borderId="2" xfId="0" applyNumberFormat="1" applyBorder="1"/>
    <xf numFmtId="4" fontId="0" fillId="0" borderId="4" xfId="13" applyNumberFormat="1" applyFont="1" applyBorder="1"/>
    <xf numFmtId="4" fontId="0" fillId="0" borderId="5" xfId="13" applyNumberFormat="1" applyFont="1" applyBorder="1"/>
    <xf numFmtId="3" fontId="5" fillId="2" borderId="7" xfId="7" applyNumberFormat="1" applyBorder="1"/>
    <xf numFmtId="3" fontId="5" fillId="2" borderId="8" xfId="7" applyNumberFormat="1" applyBorder="1"/>
    <xf numFmtId="4" fontId="5" fillId="2" borderId="7" xfId="7" applyNumberFormat="1" applyBorder="1"/>
    <xf numFmtId="4" fontId="5" fillId="2" borderId="8" xfId="7" applyNumberFormat="1" applyBorder="1"/>
    <xf numFmtId="4" fontId="0" fillId="0" borderId="3" xfId="13" applyNumberFormat="1" applyFont="1" applyBorder="1"/>
    <xf numFmtId="4" fontId="0" fillId="0" borderId="9" xfId="13" applyNumberFormat="1" applyFont="1" applyBorder="1"/>
    <xf numFmtId="3" fontId="0" fillId="0" borderId="6" xfId="0" applyNumberFormat="1" applyBorder="1"/>
    <xf numFmtId="4" fontId="5" fillId="2" borderId="10" xfId="7" applyNumberFormat="1" applyBorder="1"/>
    <xf numFmtId="4" fontId="0" fillId="0" borderId="11" xfId="13" applyNumberFormat="1" applyFont="1" applyBorder="1"/>
    <xf numFmtId="3" fontId="8" fillId="3" borderId="12" xfId="4" applyNumberFormat="1" applyBorder="1"/>
    <xf numFmtId="4" fontId="0" fillId="0" borderId="13" xfId="13" applyNumberFormat="1" applyFont="1" applyBorder="1"/>
    <xf numFmtId="3" fontId="0" fillId="0" borderId="14" xfId="0" applyNumberFormat="1" applyBorder="1"/>
    <xf numFmtId="4" fontId="0" fillId="0" borderId="15" xfId="13" applyNumberFormat="1" applyFont="1" applyBorder="1"/>
    <xf numFmtId="0" fontId="14" fillId="0" borderId="0" xfId="14"/>
    <xf numFmtId="0" fontId="15" fillId="0" borderId="0" xfId="1" applyFont="1"/>
  </cellXfs>
  <cellStyles count="15">
    <cellStyle name="Bad" xfId="11" builtinId="27" customBuiltin="1"/>
    <cellStyle name="Comma" xfId="13" builtinId="3"/>
    <cellStyle name="Data" xfId="7" xr:uid="{0B9C1219-112E-4650-9F5E-E2E8E4BF0EE1}"/>
    <cellStyle name="Good" xfId="10" builtinId="26" customBuiltin="1"/>
    <cellStyle name="Heading 1" xfId="1" builtinId="16" customBuiltin="1"/>
    <cellStyle name="Heading 2" xfId="2" builtinId="17" customBuiltin="1"/>
    <cellStyle name="Heading 3" xfId="9" builtinId="18" customBuiltin="1"/>
    <cellStyle name="Inconsistent" xfId="8" xr:uid="{3932D369-2F6E-4613-9C95-0E0E66DE756E}"/>
    <cellStyle name="Input" xfId="3" builtinId="20" hidden="1" customBuiltin="1"/>
    <cellStyle name="Neutral" xfId="12" builtinId="28" customBuiltin="1"/>
    <cellStyle name="Normal" xfId="0" builtinId="0" customBuiltin="1"/>
    <cellStyle name="Normal 2" xfId="14" xr:uid="{B22C71B5-6386-422A-B5D8-67FD084C356E}"/>
    <cellStyle name="Pasted values" xfId="5" xr:uid="{3BF9D861-0884-4A0F-82D7-9DA130B020D5}"/>
    <cellStyle name="Variable" xfId="4" xr:uid="{EED70E62-696F-4A99-9A5C-466BDF62C82E}"/>
    <cellStyle name="Warning Text" xfId="6" builtinId="11" hidden="1"/>
  </cellStyles>
  <dxfs count="0"/>
  <tableStyles count="0" defaultTableStyle="TableStyleMedium2" defaultPivotStyle="PivotStyleLight16"/>
  <colors>
    <mruColors>
      <color rgb="FFFFF0F0"/>
      <color rgb="FFFFE6E6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2</xdr:row>
      <xdr:rowOff>0</xdr:rowOff>
    </xdr:from>
    <xdr:to>
      <xdr:col>16</xdr:col>
      <xdr:colOff>0</xdr:colOff>
      <xdr:row>32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434653A-1460-1F1A-F21B-F76E684FB176}"/>
            </a:ext>
          </a:extLst>
        </xdr:cNvPr>
        <xdr:cNvSpPr txBox="1"/>
      </xdr:nvSpPr>
      <xdr:spPr>
        <a:xfrm>
          <a:off x="3724275" y="457200"/>
          <a:ext cx="7534275" cy="57721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NZ" sz="1100" b="1">
              <a:latin typeface="Aptos" panose="020B0004020202020204" pitchFamily="34" charset="0"/>
            </a:rPr>
            <a:t>Observations</a:t>
          </a:r>
        </a:p>
        <a:p>
          <a:endParaRPr lang="en-NZ" sz="1100">
            <a:latin typeface="Aptos" panose="020B0004020202020204" pitchFamily="34" charset="0"/>
          </a:endParaRPr>
        </a:p>
        <a:p>
          <a:r>
            <a:rPr lang="en-NZ" sz="1100">
              <a:latin typeface="Aptos" panose="020B0004020202020204" pitchFamily="34" charset="0"/>
            </a:rPr>
            <a:t>Define "Units" using custom dictionary. Selected dictionary file but needed to restart</a:t>
          </a:r>
          <a:r>
            <a:rPr lang="en-NZ" sz="1100" baseline="0">
              <a:latin typeface="Aptos" panose="020B0004020202020204" pitchFamily="34" charset="0"/>
            </a:rPr>
            <a:t> Excel for the custom dictionary to be recognized.</a:t>
          </a:r>
        </a:p>
        <a:p>
          <a:endParaRPr lang="en-NZ" sz="1100" baseline="0">
            <a:latin typeface="Aptos" panose="020B0004020202020204" pitchFamily="34" charset="0"/>
          </a:endParaRPr>
        </a:p>
        <a:p>
          <a:r>
            <a:rPr lang="en-NZ" sz="1100" baseline="0">
              <a:latin typeface="Aptos" panose="020B0004020202020204" pitchFamily="34" charset="0"/>
            </a:rPr>
            <a:t>The custom units are not listed when browsing units. Showed up later - not sure why.</a:t>
          </a:r>
        </a:p>
        <a:p>
          <a:endParaRPr lang="en-NZ" sz="1100" baseline="0">
            <a:latin typeface="Aptos" panose="020B0004020202020204" pitchFamily="34" charset="0"/>
          </a:endParaRPr>
        </a:p>
        <a:p>
          <a:r>
            <a:rPr lang="en-NZ" sz="1100" baseline="0">
              <a:latin typeface="Aptos" panose="020B0004020202020204" pitchFamily="34" charset="0"/>
            </a:rPr>
            <a:t>Add Units to B4:B13 and </a:t>
          </a:r>
          <a:r>
            <a:rPr lang="en-NZ" sz="1100">
              <a:latin typeface="Aptos" panose="020B0004020202020204" pitchFamily="34" charset="0"/>
            </a:rPr>
            <a:t>USD/unit for C4:C13. This requires alias of 'unit', which may not be obvious to some users.</a:t>
          </a:r>
        </a:p>
        <a:p>
          <a:endParaRPr lang="en-NZ" sz="1100">
            <a:latin typeface="Aptos" panose="020B0004020202020204" pitchFamily="34" charset="0"/>
          </a:endParaRPr>
        </a:p>
        <a:p>
          <a:r>
            <a:rPr lang="en-NZ" sz="1100">
              <a:latin typeface="Aptos" panose="020B0004020202020204" pitchFamily="34" charset="0"/>
            </a:rPr>
            <a:t>Clicking 'Check' adds US_dollar</a:t>
          </a:r>
          <a:r>
            <a:rPr lang="en-NZ" sz="1100" baseline="0">
              <a:latin typeface="Aptos" panose="020B0004020202020204" pitchFamily="34" charset="0"/>
            </a:rPr>
            <a:t> to each cell in column D one cell at a time. That would be tedious if there are many cells. No obvious way to abort that process.</a:t>
          </a:r>
        </a:p>
        <a:p>
          <a:endParaRPr lang="en-NZ" sz="1100" baseline="0">
            <a:latin typeface="Aptos" panose="020B0004020202020204" pitchFamily="34" charset="0"/>
          </a:endParaRPr>
        </a:p>
        <a:p>
          <a:r>
            <a:rPr lang="en-NZ" sz="1100" baseline="0">
              <a:latin typeface="Aptos" panose="020B0004020202020204" pitchFamily="34" charset="0"/>
            </a:rPr>
            <a:t>Clear individual units from column D and add USD to D4:D13.</a:t>
          </a:r>
        </a:p>
        <a:p>
          <a:endParaRPr lang="en-NZ" sz="1100" baseline="0">
            <a:latin typeface="Aptos" panose="020B0004020202020204" pitchFamily="34" charset="0"/>
          </a:endParaRPr>
        </a:p>
        <a:p>
          <a:r>
            <a:rPr lang="en-NZ" sz="1100" baseline="0">
              <a:latin typeface="Aptos" panose="020B0004020202020204" pitchFamily="34" charset="0"/>
            </a:rPr>
            <a:t>Clicking 'Check' correctly adds units to B14, D14, C14 (in that order, presume because of precedent order).</a:t>
          </a:r>
        </a:p>
        <a:p>
          <a:endParaRPr lang="en-NZ" sz="1100" baseline="0">
            <a:latin typeface="Aptos" panose="020B0004020202020204" pitchFamily="34" charset="0"/>
          </a:endParaRPr>
        </a:p>
        <a:p>
          <a:r>
            <a:rPr lang="en-NZ" sz="1100" baseline="0">
              <a:latin typeface="Aptos" panose="020B0004020202020204" pitchFamily="34" charset="0"/>
            </a:rPr>
            <a:t>Alias of USD was used, but automatically replaced with canonical name US_dollars throughout, which is slightly confusing. Similarly, </a:t>
          </a:r>
          <a:r>
            <a:rPr lang="en-NZ" sz="1100" baseline="0">
              <a:solidFill>
                <a:schemeClr val="dk1"/>
              </a:solidFill>
              <a:effectLst/>
              <a:latin typeface="Aptos" panose="020B0004020202020204" pitchFamily="34" charset="0"/>
              <a:ea typeface="+mn-ea"/>
              <a:cs typeface="+mn-cs"/>
            </a:rPr>
            <a:t>C4:C13 and C14 use canonical name 'US_dollar/units' rather than manually specified 'USD/unit'.</a:t>
          </a:r>
        </a:p>
        <a:p>
          <a:endParaRPr lang="en-NZ" sz="1100" baseline="0">
            <a:solidFill>
              <a:schemeClr val="dk1"/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r>
            <a:rPr lang="en-NZ" sz="1100" baseline="0">
              <a:solidFill>
                <a:schemeClr val="dk1"/>
              </a:solidFill>
              <a:effectLst/>
              <a:latin typeface="Aptos" panose="020B0004020202020204" pitchFamily="34" charset="0"/>
              <a:ea typeface="+mn-ea"/>
              <a:cs typeface="+mn-cs"/>
            </a:rPr>
            <a:t>Addin changes existing borders, which is annoying.</a:t>
          </a:r>
        </a:p>
        <a:p>
          <a:endParaRPr lang="en-NZ" sz="1100" baseline="0">
            <a:solidFill>
              <a:schemeClr val="dk1"/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r>
            <a:rPr lang="en-NZ" sz="1100" baseline="0">
              <a:solidFill>
                <a:schemeClr val="dk1"/>
              </a:solidFill>
              <a:effectLst/>
              <a:latin typeface="Aptos" panose="020B0004020202020204" pitchFamily="34" charset="0"/>
              <a:ea typeface="+mn-ea"/>
              <a:cs typeface="+mn-cs"/>
            </a:rPr>
            <a:t>Generated report says:</a:t>
          </a:r>
        </a:p>
        <a:p>
          <a:r>
            <a:rPr lang="en-NZ" sz="1100" b="1" i="0" u="none" strike="noStrike" baseline="0">
              <a:solidFill>
                <a:schemeClr val="dk1"/>
              </a:solidFill>
              <a:latin typeface="Aptos" panose="020B0004020202020204" pitchFamily="34" charset="0"/>
              <a:ea typeface="+mn-ea"/>
              <a:cs typeface="+mn-cs"/>
            </a:rPr>
            <a:t>Summary</a:t>
          </a:r>
        </a:p>
        <a:p>
          <a:r>
            <a:rPr lang="en-NZ" sz="1100" b="0" i="0" u="none" strike="noStrike" baseline="0">
              <a:solidFill>
                <a:schemeClr val="dk1"/>
              </a:solidFill>
              <a:latin typeface="Aptos" panose="020B0004020202020204" pitchFamily="34" charset="0"/>
              <a:ea typeface="+mn-ea"/>
              <a:cs typeface="+mn-cs"/>
            </a:rPr>
            <a:t>Total unit annotations	13</a:t>
          </a:r>
        </a:p>
        <a:p>
          <a:r>
            <a:rPr lang="en-NZ" sz="1100" b="0" i="0" u="none" strike="noStrike" baseline="0">
              <a:solidFill>
                <a:schemeClr val="dk1"/>
              </a:solidFill>
              <a:latin typeface="Aptos" panose="020B0004020202020204" pitchFamily="34" charset="0"/>
              <a:ea typeface="+mn-ea"/>
              <a:cs typeface="+mn-cs"/>
            </a:rPr>
            <a:t>Manually annotated	6</a:t>
          </a:r>
        </a:p>
        <a:p>
          <a:r>
            <a:rPr lang="en-NZ" sz="1100" b="0" i="0" u="none" strike="noStrike" baseline="0">
              <a:solidFill>
                <a:schemeClr val="dk1"/>
              </a:solidFill>
              <a:latin typeface="Aptos" panose="020B0004020202020204" pitchFamily="34" charset="0"/>
              <a:ea typeface="+mn-ea"/>
              <a:cs typeface="+mn-cs"/>
            </a:rPr>
            <a:t>Inferred (Infer Units) 	0</a:t>
          </a:r>
        </a:p>
        <a:p>
          <a:r>
            <a:rPr lang="en-NZ" sz="1100" b="0" i="0" u="none" strike="noStrike" baseline="0">
              <a:solidFill>
                <a:schemeClr val="dk1"/>
              </a:solidFill>
              <a:latin typeface="Aptos" panose="020B0004020202020204" pitchFamily="34" charset="0"/>
              <a:ea typeface="+mn-ea"/>
              <a:cs typeface="+mn-cs"/>
            </a:rPr>
            <a:t>Added via Check Units 	7</a:t>
          </a:r>
        </a:p>
        <a:p>
          <a:r>
            <a:rPr lang="en-NZ" sz="1100" b="0" i="0" u="none" strike="noStrike" baseline="0">
              <a:solidFill>
                <a:schemeClr val="dk1"/>
              </a:solidFill>
              <a:latin typeface="Aptos" panose="020B0004020202020204" pitchFamily="34" charset="0"/>
              <a:ea typeface="+mn-ea"/>
              <a:cs typeface="+mn-cs"/>
            </a:rPr>
            <a:t>Errors detected 	11</a:t>
          </a:r>
        </a:p>
        <a:p>
          <a:r>
            <a:rPr lang="en-NZ" sz="1100" b="0" i="0" u="none" strike="noStrike" baseline="0">
              <a:solidFill>
                <a:schemeClr val="dk1"/>
              </a:solidFill>
              <a:latin typeface="Aptos" panose="020B0004020202020204" pitchFamily="34" charset="0"/>
              <a:ea typeface="+mn-ea"/>
              <a:cs typeface="+mn-cs"/>
            </a:rPr>
            <a:t>Unverifiable cells detected 	1</a:t>
          </a:r>
        </a:p>
        <a:p>
          <a:endParaRPr lang="en-NZ" sz="1100" b="0" i="0" u="none" strike="noStrike" baseline="0">
            <a:solidFill>
              <a:schemeClr val="dk1"/>
            </a:solidFill>
            <a:latin typeface="Aptos" panose="020B0004020202020204" pitchFamily="34" charset="0"/>
            <a:ea typeface="+mn-ea"/>
            <a:cs typeface="+mn-cs"/>
          </a:endParaRPr>
        </a:p>
        <a:p>
          <a:r>
            <a:rPr lang="en-NZ" sz="1100" b="0" i="0" u="none" strike="noStrike" baseline="0">
              <a:solidFill>
                <a:schemeClr val="dk1"/>
              </a:solidFill>
              <a:latin typeface="Aptos" panose="020B0004020202020204" pitchFamily="34" charset="0"/>
              <a:ea typeface="+mn-ea"/>
              <a:cs typeface="+mn-cs"/>
            </a:rPr>
            <a:t>It is not clear why there are 11 errors reported, as none are shown in the pane, or which cell is unverifiable.</a:t>
          </a:r>
          <a:endParaRPr lang="en-NZ" sz="1100">
            <a:latin typeface="Aptos" panose="020B00040202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2</xdr:row>
      <xdr:rowOff>0</xdr:rowOff>
    </xdr:from>
    <xdr:to>
      <xdr:col>14</xdr:col>
      <xdr:colOff>0</xdr:colOff>
      <xdr:row>20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DE3E96D-D3CC-4B9F-8E50-44F65C4E19ED}"/>
            </a:ext>
          </a:extLst>
        </xdr:cNvPr>
        <xdr:cNvSpPr txBox="1"/>
      </xdr:nvSpPr>
      <xdr:spPr>
        <a:xfrm>
          <a:off x="3724275" y="457200"/>
          <a:ext cx="6162675" cy="34861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NZ" sz="1100" b="1"/>
            <a:t>Observations</a:t>
          </a:r>
        </a:p>
        <a:p>
          <a:endParaRPr lang="en-NZ" sz="1100"/>
        </a:p>
        <a:p>
          <a:r>
            <a:rPr lang="en-NZ" sz="1100"/>
            <a:t>Copied worksheet 'Test 1' and renamed as 'Test 2'. </a:t>
          </a:r>
        </a:p>
        <a:p>
          <a:endParaRPr lang="en-NZ" sz="1100"/>
        </a:p>
        <a:p>
          <a:r>
            <a:rPr lang="en-NZ" sz="1100"/>
            <a:t>The status area for all worksheets now says</a:t>
          </a:r>
          <a:r>
            <a:rPr lang="en-NZ" sz="1100" baseline="0"/>
            <a:t> </a:t>
          </a:r>
          <a:r>
            <a:rPr lang="en-NZ" sz="1100"/>
            <a:t>"</a:t>
          </a:r>
          <a:r>
            <a:rPr lang="en-NZ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Error: The current selection is invalid for this operation." Restarting Excel clears the message.</a:t>
          </a:r>
        </a:p>
        <a:p>
          <a:endParaRPr lang="en-NZ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NZ" sz="1100"/>
            <a:t>Although the cell broders from 'Test 1' are copied, 'Test 2' has no unit metadata.</a:t>
          </a:r>
        </a:p>
        <a:p>
          <a:endParaRPr lang="en-NZ" sz="1100"/>
        </a:p>
        <a:p>
          <a:r>
            <a:rPr lang="en-NZ" sz="1100"/>
            <a:t>Replace data in B4:B13 with formula: =RANDBETWEEN(10,100).</a:t>
          </a:r>
        </a:p>
        <a:p>
          <a:endParaRPr lang="en-NZ" sz="1100"/>
        </a:p>
        <a:p>
          <a:r>
            <a:rPr lang="en-NZ" sz="1100"/>
            <a:t>Clicking 'Check' and get error for D4: "</a:t>
          </a:r>
          <a:r>
            <a:rPr lang="en-NZ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Unverifiable: depends on cell B4, which is itself unverifiable." Similar message for all of</a:t>
          </a:r>
          <a:r>
            <a:rPr lang="en-NZ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D4:D13, D14, C14.</a:t>
          </a:r>
          <a:r>
            <a:rPr lang="en-NZ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B4:B14 now marked with</a:t>
          </a:r>
          <a:r>
            <a:rPr lang="en-NZ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red borders.</a:t>
          </a:r>
        </a:p>
        <a:p>
          <a:endParaRPr lang="en-NZ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NZ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Clicking on B4 shows message "</a:t>
          </a:r>
          <a:r>
            <a:rPr lang="en-NZ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Unit mismatch: expected "units", got [dimensionless].", which suggests that my attempt to use a custom dimension</a:t>
          </a:r>
          <a:r>
            <a:rPr lang="en-NZ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was not entirely successful.</a:t>
          </a:r>
        </a:p>
        <a:p>
          <a:endParaRPr lang="en-NZ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NZ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error message "</a:t>
          </a:r>
          <a:r>
            <a:rPr lang="en-NZ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Error: The current selection is invalid for this operation." returns for alll</a:t>
          </a:r>
          <a:r>
            <a:rPr lang="en-NZ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worksheets. Restarting clears the error messages.</a:t>
          </a:r>
          <a:endParaRPr lang="en-NZ" sz="1100"/>
        </a:p>
        <a:p>
          <a:endParaRPr lang="en-NZ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2</xdr:row>
      <xdr:rowOff>0</xdr:rowOff>
    </xdr:from>
    <xdr:to>
      <xdr:col>16</xdr:col>
      <xdr:colOff>0</xdr:colOff>
      <xdr:row>30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084AC38-9B73-4F99-BF57-005366555613}"/>
            </a:ext>
          </a:extLst>
        </xdr:cNvPr>
        <xdr:cNvSpPr txBox="1"/>
      </xdr:nvSpPr>
      <xdr:spPr>
        <a:xfrm>
          <a:off x="3724275" y="457200"/>
          <a:ext cx="7534275" cy="53911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NZ" sz="1100" b="1">
              <a:latin typeface="Aptos" panose="020B0004020202020204" pitchFamily="34" charset="0"/>
            </a:rPr>
            <a:t>Observations</a:t>
          </a:r>
        </a:p>
        <a:p>
          <a:endParaRPr lang="en-NZ" sz="1100">
            <a:latin typeface="Aptos" panose="020B0004020202020204" pitchFamily="34" charset="0"/>
          </a:endParaRPr>
        </a:p>
        <a:p>
          <a:r>
            <a:rPr lang="en-NZ" sz="1100">
              <a:latin typeface="Aptos" panose="020B0004020202020204" pitchFamily="34" charset="0"/>
            </a:rPr>
            <a:t>Copied worksheet 'Test 1'. No error message this time.</a:t>
          </a:r>
        </a:p>
        <a:p>
          <a:endParaRPr lang="en-NZ" sz="1100">
            <a:latin typeface="Aptos" panose="020B0004020202020204" pitchFamily="34" charset="0"/>
          </a:endParaRPr>
        </a:p>
        <a:p>
          <a:r>
            <a:rPr lang="en-NZ" sz="1100">
              <a:latin typeface="Aptos" panose="020B0004020202020204" pitchFamily="34" charset="0"/>
            </a:rPr>
            <a:t>Manually ddd units for B4:B14, C</a:t>
          </a:r>
          <a:r>
            <a:rPr lang="en-NZ" sz="1100">
              <a:solidFill>
                <a:schemeClr val="dk1"/>
              </a:solidFill>
              <a:effectLst/>
              <a:latin typeface="Aptos" panose="020B0004020202020204" pitchFamily="34" charset="0"/>
              <a:ea typeface="+mn-ea"/>
              <a:cs typeface="+mn-cs"/>
            </a:rPr>
            <a:t>4:C14, and D4:D14.</a:t>
          </a:r>
        </a:p>
        <a:p>
          <a:endParaRPr lang="en-NZ" sz="1100">
            <a:solidFill>
              <a:schemeClr val="dk1"/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r>
            <a:rPr lang="en-NZ" sz="1100">
              <a:latin typeface="Aptos" panose="020B0004020202020204" pitchFamily="34" charset="0"/>
            </a:rPr>
            <a:t>Clicking 'Check' correctly adds units for</a:t>
          </a:r>
          <a:r>
            <a:rPr lang="en-NZ" sz="1100" baseline="0">
              <a:latin typeface="Aptos" panose="020B0004020202020204" pitchFamily="34" charset="0"/>
            </a:rPr>
            <a:t> B14, D14, and C14.</a:t>
          </a:r>
        </a:p>
        <a:p>
          <a:endParaRPr lang="en-NZ" sz="1100" baseline="0">
            <a:latin typeface="Aptos" panose="020B0004020202020204" pitchFamily="34" charset="0"/>
          </a:endParaRPr>
        </a:p>
        <a:p>
          <a:r>
            <a:rPr lang="en-NZ" sz="1100">
              <a:latin typeface="Aptos" panose="020B0004020202020204" pitchFamily="34" charset="0"/>
            </a:rPr>
            <a:t>Change D14 to =SUM(D4:D13)^2</a:t>
          </a:r>
        </a:p>
        <a:p>
          <a:endParaRPr lang="en-NZ" sz="1100">
            <a:latin typeface="Aptos" panose="020B0004020202020204" pitchFamily="34" charset="0"/>
          </a:endParaRPr>
        </a:p>
        <a:p>
          <a:r>
            <a:rPr lang="en-NZ" sz="1100">
              <a:latin typeface="Aptos" panose="020B0004020202020204" pitchFamily="34" charset="0"/>
            </a:rPr>
            <a:t>Clicking 'Check' highlights C14 with message</a:t>
          </a:r>
          <a:r>
            <a:rPr lang="en-NZ" sz="1100" baseline="0">
              <a:latin typeface="Aptos" panose="020B0004020202020204" pitchFamily="34" charset="0"/>
            </a:rPr>
            <a:t> "</a:t>
          </a:r>
          <a:r>
            <a:rPr lang="en-NZ" sz="1100" b="0" i="0">
              <a:solidFill>
                <a:schemeClr val="dk1"/>
              </a:solidFill>
              <a:effectLst/>
              <a:latin typeface="Aptos" panose="020B0004020202020204" pitchFamily="34" charset="0"/>
              <a:ea typeface="+mn-ea"/>
              <a:cs typeface="+mn-cs"/>
            </a:rPr>
            <a:t>Unverifiable: depends on cell D14, which is itself unverifiable." but no highlight or</a:t>
          </a:r>
          <a:r>
            <a:rPr lang="en-NZ" sz="1100" b="0" i="0" baseline="0">
              <a:solidFill>
                <a:schemeClr val="dk1"/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message for D14 (which incorrectly retains US-dollar).</a:t>
          </a:r>
        </a:p>
        <a:p>
          <a:endParaRPr lang="en-NZ" sz="1100" b="0" i="0" baseline="0">
            <a:solidFill>
              <a:schemeClr val="dk1"/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r>
            <a:rPr lang="en-NZ" sz="1100" b="0" i="0" baseline="0">
              <a:solidFill>
                <a:schemeClr val="dk1"/>
              </a:solidFill>
              <a:effectLst/>
              <a:latin typeface="Aptos" panose="020B0004020202020204" pitchFamily="34" charset="0"/>
              <a:ea typeface="+mn-ea"/>
              <a:cs typeface="+mn-cs"/>
            </a:rPr>
            <a:t>Error message "</a:t>
          </a:r>
          <a:r>
            <a:rPr lang="en-NZ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Error: The current selection is invalid for this operation." reappears while editing worksheet.</a:t>
          </a:r>
          <a:endParaRPr lang="en-NZ" sz="1100" b="0" i="0" baseline="0">
            <a:solidFill>
              <a:schemeClr val="dk1"/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endParaRPr lang="en-NZ" sz="1100" b="0" i="0" baseline="0">
            <a:solidFill>
              <a:schemeClr val="dk1"/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endParaRPr lang="en-NZ" sz="1100">
            <a:latin typeface="Aptos" panose="020B0004020202020204" pitchFamily="34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</xdr:row>
      <xdr:rowOff>0</xdr:rowOff>
    </xdr:from>
    <xdr:to>
      <xdr:col>11</xdr:col>
      <xdr:colOff>0</xdr:colOff>
      <xdr:row>31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2A04BD8-83F5-4AEB-A029-44D2A21DD44D}"/>
            </a:ext>
          </a:extLst>
        </xdr:cNvPr>
        <xdr:cNvSpPr txBox="1"/>
      </xdr:nvSpPr>
      <xdr:spPr>
        <a:xfrm>
          <a:off x="9525" y="571500"/>
          <a:ext cx="7534275" cy="5334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NZ" sz="1100" b="1">
              <a:latin typeface="Aptos" panose="020B0004020202020204" pitchFamily="34" charset="0"/>
            </a:rPr>
            <a:t>Observations</a:t>
          </a:r>
        </a:p>
        <a:p>
          <a:endParaRPr lang="en-NZ" sz="1100">
            <a:latin typeface="Aptos" panose="020B0004020202020204" pitchFamily="34" charset="0"/>
          </a:endParaRPr>
        </a:p>
        <a:p>
          <a:r>
            <a:rPr lang="en-NZ" sz="1100">
              <a:latin typeface="Aptos" panose="020B0004020202020204" pitchFamily="34" charset="0"/>
            </a:rPr>
            <a:t>Cannot add units to disjointed selection range.</a:t>
          </a:r>
        </a:p>
        <a:p>
          <a:endParaRPr lang="en-NZ" sz="1100" b="0" i="0" baseline="0">
            <a:solidFill>
              <a:schemeClr val="dk1"/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r>
            <a:rPr lang="en-NZ" sz="1100" b="0" i="0" baseline="0">
              <a:solidFill>
                <a:schemeClr val="dk1"/>
              </a:solidFill>
              <a:effectLst/>
              <a:latin typeface="Aptos" panose="020B0004020202020204" pitchFamily="34" charset="0"/>
              <a:ea typeface="+mn-ea"/>
              <a:cs typeface="+mn-cs"/>
            </a:rPr>
            <a:t>Cannot add USD unit to cells formatted as generic currency. Understandable, but annoying.</a:t>
          </a:r>
        </a:p>
        <a:p>
          <a:endParaRPr lang="en-NZ" sz="1100" b="0" i="0" baseline="0">
            <a:solidFill>
              <a:schemeClr val="dk1"/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r>
            <a:rPr lang="en-NZ" sz="1100" b="0" i="0" baseline="0">
              <a:solidFill>
                <a:schemeClr val="dk1"/>
              </a:solidFill>
              <a:effectLst/>
              <a:latin typeface="Aptos" panose="020B0004020202020204" pitchFamily="34" charset="0"/>
              <a:ea typeface="+mn-ea"/>
              <a:cs typeface="+mn-cs"/>
            </a:rPr>
            <a:t>Standard dictionary has weight of 'ton' but not 'tonne'.</a:t>
          </a:r>
        </a:p>
        <a:p>
          <a:endParaRPr lang="en-NZ" sz="1100" b="0" i="0" baseline="0">
            <a:solidFill>
              <a:schemeClr val="dk1"/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r>
            <a:rPr lang="en-NZ" sz="1100">
              <a:latin typeface="Aptos" panose="020B0004020202020204" pitchFamily="34" charset="0"/>
            </a:rPr>
            <a:t>If a cell contains the formula =NOW() Daubee cannot assign a unit. Manual attempt to add a time unit fails. Perhaps a Date/time unit is required? Clearing unit data for that cell fails,</a:t>
          </a:r>
          <a:r>
            <a:rPr lang="en-NZ" sz="1100" baseline="0">
              <a:latin typeface="Aptos" panose="020B0004020202020204" pitchFamily="34" charset="0"/>
            </a:rPr>
            <a:t> with error message remaining.</a:t>
          </a:r>
        </a:p>
        <a:p>
          <a:endParaRPr lang="en-NZ" sz="1100" baseline="0">
            <a:latin typeface="Aptos" panose="020B0004020202020204" pitchFamily="34" charset="0"/>
          </a:endParaRPr>
        </a:p>
        <a:p>
          <a:r>
            <a:rPr lang="en-NZ" sz="1100" baseline="0">
              <a:latin typeface="Aptos" panose="020B0004020202020204" pitchFamily="34" charset="0"/>
            </a:rPr>
            <a:t>If the 'Unit formula' box contains a unit, then browsing appends any selected unit (making an invalid unit). That isn't usually what is expected.</a:t>
          </a:r>
        </a:p>
        <a:p>
          <a:endParaRPr lang="en-NZ" sz="1100" baseline="0">
            <a:latin typeface="Aptos" panose="020B0004020202020204" pitchFamily="34" charset="0"/>
          </a:endParaRPr>
        </a:p>
        <a:p>
          <a:r>
            <a:rPr lang="en-NZ" sz="1100" baseline="0">
              <a:latin typeface="Aptos" panose="020B0004020202020204" pitchFamily="34" charset="0"/>
            </a:rPr>
            <a:t>Attempted to define custom unit 'c/kWh'. Shows up as '</a:t>
          </a:r>
          <a:r>
            <a:rPr lang="en-NZ" sz="1100" b="0" i="0">
              <a:solidFill>
                <a:schemeClr val="dk1"/>
              </a:solidFill>
              <a:effectLst/>
              <a:latin typeface="Aptos" panose="020B0004020202020204" pitchFamily="34" charset="0"/>
              <a:ea typeface="+mn-ea"/>
              <a:cs typeface="+mn-cs"/>
            </a:rPr>
            <a:t>thermodynamic_calorie/kWh', which indicates that we cannot overload names. Changed to cents/kWh, which works (after defining additional unit of 'cents') but isn't ideal.</a:t>
          </a:r>
          <a:endParaRPr lang="en-NZ" sz="1100">
            <a:latin typeface="Aptos" panose="020B0004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9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F0B3CAF-54CB-4C58-A572-7C945B9C84C8}">
  <we:reference id="0f55b8dd-3c4a-4282-b177-f2a35808fd17" version="1.0.0.0" store="\\study\daubee" storeType="Filesystem"/>
  <we:alternateReferences/>
  <we:properties>
    <we:property name="daubee.annotations" value="&quot;[{\&quot;id\&quot;:\&quot;ann_musyeprr_11n5l2\&quot;,\&quot;scope\&quot;:{\&quot;kind\&quot;:\&quot;range\&quot;,\&quot;sheetId\&quot;:\&quot;{4BC66386-303D-4EFC-B833-FAAA79FAE122}\&quot;,\&quot;sheetName\&quot;:\&quot;Test 1\&quot;,\&quot;address\&quot;:\&quot;B4:B13\&quot;},\&quot;formula\&quot;:\&quot;units\&quot;,\&quot;createdAt\&quot;:\&quot;2026-10-03T22:18:46.647Z\&quot;,\&quot;updatedAt\&quot;:\&quot;2026-10-03T22:18:46.647Z\&quot;},{\&quot;id\&quot;:\&quot;ann_musyfbmp_wo0mkw\&quot;,\&quot;scope\&quot;:{\&quot;kind\&quot;:\&quot;range\&quot;,\&quot;sheetId\&quot;:\&quot;{4BC66386-303D-4EFC-B833-FAAA79FAE122}\&quot;,\&quot;sheetName\&quot;:\&quot;Test 1\&quot;,\&quot;address\&quot;:\&quot;C4:C13\&quot;},\&quot;formula\&quot;:\&quot;US_dollar/units\&quot;,\&quot;createdAt\&quot;:\&quot;2026-10-03T22:19:14.977Z\&quot;,\&quot;updatedAt\&quot;:\&quot;2026-10-03T22:19:14.977Z\&quot;},{\&quot;id\&quot;:\&quot;ann_musyovqi_ys6oyi\&quot;,\&quot;scope\&quot;:{\&quot;kind\&quot;:\&quot;range\&quot;,\&quot;sheetId\&quot;:\&quot;{4BC66386-303D-4EFC-B833-FAAA79FAE122}\&quot;,\&quot;sheetName\&quot;:\&quot;Test 1\&quot;,\&quot;address\&quot;:\&quot;D4:D13\&quot;},\&quot;formula\&quot;:\&quot;US_dollar\&quot;,\&quot;createdAt\&quot;:\&quot;2026-10-03T22:26:40.938Z\&quot;,\&quot;updatedAt\&quot;:\&quot;2026-10-03T22:26:40.938Z\&quot;},{\&quot;id\&quot;:\&quot;ann_musyqzzn_pm774v\&quot;,\&quot;scope\&quot;:{\&quot;kind\&quot;:\&quot;cell\&quot;,\&quot;sheetId\&quot;:\&quot;{4BC66386-303D-4EFC-B833-FAAA79FAE122}\&quot;,\&quot;sheetName\&quot;:\&quot;Test 1\&quot;,\&quot;address\&quot;:\&quot;B14\&quot;},\&quot;formula\&quot;:\&quot;units\&quot;,\&quot;createdAt\&quot;:\&quot;2026-10-03T22:28:19.763Z\&quot;,\&quot;updatedAt\&quot;:\&quot;2026-10-03T22:28:19.763Z\&quot;},{\&quot;id\&quot;:\&quot;ann_musyralm_rfy6go\&quot;,\&quot;scope\&quot;:{\&quot;kind\&quot;:\&quot;cell\&quot;,\&quot;sheetId\&quot;:\&quot;{4BC66386-303D-4EFC-B833-FAAA79FAE122}\&quot;,\&quot;sheetName\&quot;:\&quot;Test 1\&quot;,\&quot;address\&quot;:\&quot;D14\&quot;},\&quot;formula\&quot;:\&quot;US_dollar\&quot;,\&quot;createdAt\&quot;:\&quot;2026-10-03T22:28:33.514Z\&quot;,\&quot;updatedAt\&quot;:\&quot;2026-10-03T22:28:33.514Z\&quot;},{\&quot;id\&quot;:\&quot;ann_musyrf35_f2wl8z\&quot;,\&quot;scope\&quot;:{\&quot;kind\&quot;:\&quot;cell\&quot;,\&quot;sheetId\&quot;:\&quot;{4BC66386-303D-4EFC-B833-FAAA79FAE122}\&quot;,\&quot;sheetName\&quot;:\&quot;Test 1\&quot;,\&quot;address\&quot;:\&quot;C14\&quot;},\&quot;formula\&quot;:\&quot;US_dollar/units\&quot;,\&quot;createdAt\&quot;:\&quot;2026-10-03T22:28:39.329Z\&quot;,\&quot;updatedAt\&quot;:\&quot;2026-10-03T22:28:39.329Z\&quot;},{\&quot;id\&quot;:\&quot;ann_muszfsoi_79zm2o\&quot;,\&quot;scope\&quot;:{\&quot;kind\&quot;:\&quot;range\&quot;,\&quot;sheetId\&quot;:\&quot;{F7F97641-A0F3-4938-A645-00F2E8F55560}\&quot;,\&quot;sheetName\&quot;:\&quot;Test 2\&quot;,\&quot;address\&quot;:\&quot;B4:B13\&quot;},\&quot;formula\&quot;:\&quot;units\&quot;,\&quot;createdAt\&quot;:\&quot;2026-10-03T22:47:36.690Z\&quot;,\&quot;updatedAt\&quot;:\&quot;2026-10-03T22:47:36.690Z\&quot;},{\&quot;id\&quot;:\&quot;ann_muszg3p1_u6j4zp\&quot;,\&quot;scope\&quot;:{\&quot;kind\&quot;:\&quot;range\&quot;,\&quot;sheetId\&quot;:\&quot;{F7F97641-A0F3-4938-A645-00F2E8F55560}\&quot;,\&quot;sheetName\&quot;:\&quot;Test 2\&quot;,\&quot;address\&quot;:\&quot;C4:C13\&quot;},\&quot;formula\&quot;:\&quot;US_dollar/units\&quot;,\&quot;createdAt\&quot;:\&quot;2026-10-03T22:47:50.965Z\&quot;,\&quot;updatedAt\&quot;:\&quot;2026-10-03T22:47:50.965Z\&quot;},{\&quot;id\&quot;:\&quot;ann_muszvs5z_zl5rrm\&quot;,\&quot;scope\&quot;:{\&quot;kind\&quot;:\&quot;range\&quot;,\&quot;sheetId\&quot;:\&quot;{3F67E7BB-DEA2-4D18-AB23-B3C3B39A0352}\&quot;,\&quot;sheetName\&quot;:\&quot;Test 3\&quot;,\&quot;address\&quot;:\&quot;B4:B13\&quot;},\&quot;formula\&quot;:\&quot;units\&quot;,\&quot;createdAt\&quot;:\&quot;2026-10-03T23:00:02.519Z\&quot;,\&quot;updatedAt\&quot;:\&quot;2026-10-03T23:00:02.519Z\&quot;},{\&quot;id\&quot;:\&quot;ann_muszvypz_61ds2b\&quot;,\&quot;scope\&quot;:{\&quot;kind\&quot;:\&quot;range\&quot;,\&quot;sheetId\&quot;:\&quot;{3F67E7BB-DEA2-4D18-AB23-B3C3B39A0352}\&quot;,\&quot;sheetName\&quot;:\&quot;Test 3\&quot;,\&quot;address\&quot;:\&quot;C4:C13\&quot;},\&quot;formula\&quot;:\&quot;US_dollar/units\&quot;,\&quot;createdAt\&quot;:\&quot;2026-10-03T23:00:11.015Z\&quot;,\&quot;updatedAt\&quot;:\&quot;2026-10-03T23:00:11.015Z\&quot;},{\&quot;id\&quot;:\&quot;ann_muszw5g7_mtx4qi\&quot;,\&quot;scope\&quot;:{\&quot;kind\&quot;:\&quot;range\&quot;,\&quot;sheetId\&quot;:\&quot;{3F67E7BB-DEA2-4D18-AB23-B3C3B39A0352}\&quot;,\&quot;sheetName\&quot;:\&quot;Test 3\&quot;,\&quot;address\&quot;:\&quot;D4:D13\&quot;},\&quot;formula\&quot;:\&quot;US_dollar\&quot;,\&quot;createdAt\&quot;:\&quot;2026-10-03T23:00:19.735Z\&quot;,\&quot;updatedAt\&quot;:\&quot;2026-10-03T23:00:19.735Z\&quot;},{\&quot;id\&quot;:\&quot;ann_muszw99f_6hsui5\&quot;,\&quot;scope\&quot;:{\&quot;kind\&quot;:\&quot;cell\&quot;,\&quot;sheetId\&quot;:\&quot;{3F67E7BB-DEA2-4D18-AB23-B3C3B39A0352}\&quot;,\&quot;sheetName\&quot;:\&quot;Test 3\&quot;,\&quot;address\&quot;:\&quot;B14\&quot;},\&quot;formula\&quot;:\&quot;units\&quot;,\&quot;createdAt\&quot;:\&quot;2026-10-03T23:00:24.675Z\&quot;,\&quot;updatedAt\&quot;:\&quot;2026-10-03T23:00:24.675Z\&quot;},{\&quot;id\&quot;:\&quot;ann_muszwa4n_40jee5\&quot;,\&quot;scope\&quot;:{\&quot;kind\&quot;:\&quot;cell\&quot;,\&quot;sheetId\&quot;:\&quot;{3F67E7BB-DEA2-4D18-AB23-B3C3B39A0352}\&quot;,\&quot;sheetName\&quot;:\&quot;Test 3\&quot;,\&quot;address\&quot;:\&quot;D14\&quot;},\&quot;formula\&quot;:\&quot;US_dollar\&quot;,\&quot;createdAt\&quot;:\&quot;2026-10-03T23:00:25.799Z\&quot;,\&quot;updatedAt\&quot;:\&quot;2026-10-03T23:00:25.799Z\&quot;},{\&quot;id\&quot;:\&quot;ann_muszwaym_oivt9f\&quot;,\&quot;scope\&quot;:{\&quot;kind\&quot;:\&quot;cell\&quot;,\&quot;sheetId\&quot;:\&quot;{3F67E7BB-DEA2-4D18-AB23-B3C3B39A0352}\&quot;,\&quot;sheetName\&quot;:\&quot;Test 3\&quot;,\&quot;address\&quot;:\&quot;C14\&quot;},\&quot;formula\&quot;:\&quot;US_dollar/units\&quot;,\&quot;createdAt\&quot;:\&quot;2026-10-03T23:00:26.878Z\&quot;,\&quot;updatedAt\&quot;:\&quot;2026-10-03T23:00:26.878Z\&quot;}]&quot;"/>
    <we:property name="daubee.auditCounters" value="{&quot;firstActivityAt&quot;:&quot;2026-10-03T20:23:49.422Z&quot;,&quot;bySheetId&quot;:{&quot;{DD9A46E9-CC4A-4B91-822A-7B41D2623649}&quot;:{&quot;sheetName&quot;:&quot;Test 1&quot;,&quot;manualAnnotations&quot;:3,&quot;inferredAnnotations&quot;:0,&quot;checkedAnnotations&quot;:11,&quot;errorsDetected&quot;:10,&quot;unverifiableDetected&quot;:11},&quot;{4BC66386-303D-4EFC-B833-FAAA79FAE122}&quot;:{&quot;sheetName&quot;:&quot;Test 1&quot;,&quot;manualAnnotations&quot;:6,&quot;inferredAnnotations&quot;:0,&quot;checkedAnnotations&quot;:7,&quot;errorsDetected&quot;:11,&quot;unverifiableDetected&quot;:1},&quot;{F7F97641-A0F3-4938-A645-00F2E8F55560}&quot;:{&quot;sheetName&quot;:&quot;Test 2&quot;,&quot;manualAnnotations&quot;:2,&quot;inferredAnnotations&quot;:0,&quot;checkedAnnotations&quot;:0,&quot;errorsDetected&quot;:11,&quot;unverifiableDetected&quot;:12},&quot;{3F67E7BB-DEA2-4D18-AB23-B3C3B39A0352}&quot;:{&quot;sheetName&quot;:&quot;Test 3&quot;,&quot;manualAnnotations&quot;:3,&quot;inferredAnnotations&quot;:0,&quot;checkedAnnotations&quot;:3,&quot;errorsDetected&quot;:0,&quot;unverifiableDetected&quot;:1}}}"/>
    <we:property name="daubee.errorAnnotations" value="&quot;[{\&quot;sheetId\&quot;:\&quot;{F7F97641-A0F3-4938-A645-00F2E8F55560}\&quot;,\&quot;address\&quot;:\&quot;B4\&quot;,\&quot;reason\&quot;:\&quot;equality\&quot;,\&quot;expected\&quot;:\&quot;units\&quot;,\&quot;got\&quot;:\&quot;\&quot;,\&quot;sources\&quot;:[],\&quot;updatedAt\&quot;:\&quot;2026-10-03T22:48:00.489Z\&quot;},{\&quot;sheetId\&quot;:\&quot;{F7F97641-A0F3-4938-A645-00F2E8F55560}\&quot;,\&quot;address\&quot;:\&quot;D4\&quot;,\&quot;reason\&quot;:\&quot;propagate\&quot;,\&quot;sources\&quot;:[\&quot;B4\&quot;],\&quot;updatedAt\&quot;:\&quot;2026-10-03T22:48:00.489Z\&quot;},{\&quot;sheetId\&quot;:\&quot;{F7F97641-A0F3-4938-A645-00F2E8F55560}\&quot;,\&quot;address\&quot;:\&quot;B5\&quot;,\&quot;reason\&quot;:\&quot;equality\&quot;,\&quot;expected\&quot;:\&quot;units\&quot;,\&quot;got\&quot;:\&quot;\&quot;,\&quot;sources\&quot;:[],\&quot;updatedAt\&quot;:\&quot;2026-10-03T22:48:00.489Z\&quot;},{\&quot;sheetId\&quot;:\&quot;{F7F97641-A0F3-4938-A645-00F2E8F55560}\&quot;,\&quot;address\&quot;:\&quot;D5\&quot;,\&quot;reason\&quot;:\&quot;propagate\&quot;,\&quot;sources\&quot;:[\&quot;B5\&quot;],\&quot;updatedAt\&quot;:\&quot;2026-10-03T22:48:00.489Z\&quot;},{\&quot;sheetId\&quot;:\&quot;{F7F97641-A0F3-4938-A645-00F2E8F55560}\&quot;,\&quot;address\&quot;:\&quot;B6\&quot;,\&quot;reason\&quot;:\&quot;equality\&quot;,\&quot;expected\&quot;:\&quot;units\&quot;,\&quot;got\&quot;:\&quot;\&quot;,\&quot;sources\&quot;:[],\&quot;updatedAt\&quot;:\&quot;2026-10-03T22:48:00.489Z\&quot;},{\&quot;sheetId\&quot;:\&quot;{F7F97641-A0F3-4938-A645-00F2E8F55560}\&quot;,\&quot;address\&quot;:\&quot;D6\&quot;,\&quot;reason\&quot;:\&quot;propagate\&quot;,\&quot;sources\&quot;:[\&quot;B6\&quot;],\&quot;updatedAt\&quot;:\&quot;2026-10-03T22:48:00.489Z\&quot;},{\&quot;sheetId\&quot;:\&quot;{F7F97641-A0F3-4938-A645-00F2E8F55560}\&quot;,\&quot;address\&quot;:\&quot;B7\&quot;,\&quot;reason\&quot;:\&quot;equality\&quot;,\&quot;expected\&quot;:\&quot;units\&quot;,\&quot;got\&quot;:\&quot;\&quot;,\&quot;sources\&quot;:[],\&quot;updatedAt\&quot;:\&quot;2026-10-03T22:48:00.489Z\&quot;},{\&quot;sheetId\&quot;:\&quot;{F7F97641-A0F3-4938-A645-00F2E8F55560}\&quot;,\&quot;address\&quot;:\&quot;D7\&quot;,\&quot;reason\&quot;:\&quot;propagate\&quot;,\&quot;sources\&quot;:[\&quot;B7\&quot;],\&quot;updatedAt\&quot;:\&quot;2026-10-03T22:48:00.489Z\&quot;},{\&quot;sheetId\&quot;:\&quot;{F7F97641-A0F3-4938-A645-00F2E8F55560}\&quot;,\&quot;address\&quot;:\&quot;B8\&quot;,\&quot;reason\&quot;:\&quot;equality\&quot;,\&quot;expected\&quot;:\&quot;units\&quot;,\&quot;got\&quot;:\&quot;\&quot;,\&quot;sources\&quot;:[],\&quot;updatedAt\&quot;:\&quot;2026-10-03T22:48:00.489Z\&quot;},{\&quot;sheetId\&quot;:\&quot;{F7F97641-A0F3-4938-A645-00F2E8F55560}\&quot;,\&quot;address\&quot;:\&quot;D8\&quot;,\&quot;reason\&quot;:\&quot;propagate\&quot;,\&quot;sources\&quot;:[\&quot;B8\&quot;],\&quot;updatedAt\&quot;:\&quot;2026-10-03T22:48:00.489Z\&quot;},{\&quot;sheetId\&quot;:\&quot;{F7F97641-A0F3-4938-A645-00F2E8F55560}\&quot;,\&quot;address\&quot;:\&quot;B9\&quot;,\&quot;reason\&quot;:\&quot;equality\&quot;,\&quot;expected\&quot;:\&quot;units\&quot;,\&quot;got\&quot;:\&quot;\&quot;,\&quot;sources\&quot;:[],\&quot;updatedAt\&quot;:\&quot;2026-10-03T22:48:00.489Z\&quot;},{\&quot;sheetId\&quot;:\&quot;{F7F97641-A0F3-4938-A645-00F2E8F55560}\&quot;,\&quot;address\&quot;:\&quot;D9\&quot;,\&quot;reason\&quot;:\&quot;propagate\&quot;,\&quot;sources\&quot;:[\&quot;B9\&quot;],\&quot;updatedAt\&quot;:\&quot;2026-10-03T22:48:00.491Z\&quot;},{\&quot;sheetId\&quot;:\&quot;{F7F97641-A0F3-4938-A645-00F2E8F55560}\&quot;,\&quot;address\&quot;:\&quot;B10\&quot;,\&quot;reason\&quot;:\&quot;equality\&quot;,\&quot;expected\&quot;:\&quot;units\&quot;,\&quot;got\&quot;:\&quot;\&quot;,\&quot;sources\&quot;:[],\&quot;updatedAt\&quot;:\&quot;2026-10-03T22:48:00.491Z\&quot;},{\&quot;sheetId\&quot;:\&quot;{F7F97641-A0F3-4938-A645-00F2E8F55560}\&quot;,\&quot;address\&quot;:\&quot;D10\&quot;,\&quot;reason\&quot;:\&quot;propagate\&quot;,\&quot;sources\&quot;:[\&quot;B10\&quot;],\&quot;updatedAt\&quot;:\&quot;2026-10-03T22:48:00.491Z\&quot;},{\&quot;sheetId\&quot;:\&quot;{F7F97641-A0F3-4938-A645-00F2E8F55560}\&quot;,\&quot;address\&quot;:\&quot;B11\&quot;,\&quot;reason\&quot;:\&quot;equality\&quot;,\&quot;expected\&quot;:\&quot;units\&quot;,\&quot;got\&quot;:\&quot;\&quot;,\&quot;sources\&quot;:[],\&quot;updatedAt\&quot;:\&quot;2026-10-03T22:48:00.491Z\&quot;},{\&quot;sheetId\&quot;:\&quot;{F7F97641-A0F3-4938-A645-00F2E8F55560}\&quot;,\&quot;address\&quot;:\&quot;D11\&quot;,\&quot;reason\&quot;:\&quot;propagate\&quot;,\&quot;sources\&quot;:[\&quot;B11\&quot;],\&quot;updatedAt\&quot;:\&quot;2026-10-03T22:48:00.491Z\&quot;},{\&quot;sheetId\&quot;:\&quot;{F7F97641-A0F3-4938-A645-00F2E8F55560}\&quot;,\&quot;address\&quot;:\&quot;B12\&quot;,\&quot;reason\&quot;:\&quot;equality\&quot;,\&quot;expected\&quot;:\&quot;units\&quot;,\&quot;got\&quot;:\&quot;\&quot;,\&quot;sources\&quot;:[],\&quot;updatedAt\&quot;:\&quot;2026-10-03T22:48:00.491Z\&quot;},{\&quot;sheetId\&quot;:\&quot;{F7F97641-A0F3-4938-A645-00F2E8F55560}\&quot;,\&quot;address\&quot;:\&quot;D12\&quot;,\&quot;reason\&quot;:\&quot;propagate\&quot;,\&quot;sources\&quot;:[\&quot;B12\&quot;],\&quot;updatedAt\&quot;:\&quot;2026-10-03T22:48:00.491Z\&quot;},{\&quot;sheetId\&quot;:\&quot;{F7F97641-A0F3-4938-A645-00F2E8F55560}\&quot;,\&quot;address\&quot;:\&quot;B13\&quot;,\&quot;reason\&quot;:\&quot;equality\&quot;,\&quot;expected\&quot;:\&quot;units\&quot;,\&quot;got\&quot;:\&quot;\&quot;,\&quot;sources\&quot;:[],\&quot;updatedAt\&quot;:\&quot;2026-10-03T22:48:00.491Z\&quot;},{\&quot;sheetId\&quot;:\&quot;{F7F97641-A0F3-4938-A645-00F2E8F55560}\&quot;,\&quot;address\&quot;:\&quot;D13\&quot;,\&quot;reason\&quot;:\&quot;propagate\&quot;,\&quot;sources\&quot;:[\&quot;B13\&quot;],\&quot;updatedAt\&quot;:\&quot;2026-10-03T22:48:00.491Z\&quot;},{\&quot;sheetId\&quot;:\&quot;{F7F97641-A0F3-4938-A645-00F2E8F55560}\&quot;,\&quot;address\&quot;:\&quot;B14\&quot;,\&quot;reason\&quot;:\&quot;equality\&quot;,\&quot;expected\&quot;:\&quot;units\&quot;,\&quot;got\&quot;:\&quot;\&quot;,\&quot;sources\&quot;:[\&quot;B4\&quot;,\&quot;B5\&quot;,\&quot;B6\&quot;,\&quot;B7\&quot;,\&quot;B8\&quot;,\&quot;B9\&quot;,\&quot;B10\&quot;,\&quot;B11\&quot;,\&quot;B12\&quot;,\&quot;B13\&quot;],\&quot;updatedAt\&quot;:\&quot;2026-10-03T22:48:00.491Z\&quot;},{\&quot;sheetId\&quot;:\&quot;{F7F97641-A0F3-4938-A645-00F2E8F55560}\&quot;,\&quot;address\&quot;:\&quot;D14\&quot;,\&quot;reason\&quot;:\&quot;propagate\&quot;,\&quot;sources\&quot;:[\&quot;D4\&quot;,\&quot;D5\&quot;,\&quot;D6\&quot;,\&quot;D7\&quot;,\&quot;D8\&quot;,\&quot;D9\&quot;,\&quot;D10\&quot;,\&quot;D11\&quot;,\&quot;D12\&quot;,\&quot;D13\&quot;],\&quot;updatedAt\&quot;:\&quot;2026-10-03T22:48:00.491Z\&quot;},{\&quot;sheetId\&quot;:\&quot;{F7F97641-A0F3-4938-A645-00F2E8F55560}\&quot;,\&quot;address\&quot;:\&quot;C14\&quot;,\&quot;reason\&quot;:\&quot;propagate\&quot;,\&quot;sources\&quot;:[\&quot;D14\&quot;,\&quot;B14\&quot;],\&quot;updatedAt\&quot;:\&quot;2026-10-03T22:48:00.491Z\&quot;},{\&quot;sheetId\&quot;:\&quot;{3F67E7BB-DEA2-4D18-AB23-B3C3B39A0352}\&quot;,\&quot;address\&quot;:\&quot;C14\&quot;,\&quot;reason\&quot;:\&quot;propagate\&quot;,\&quot;sources\&quot;:[\&quot;D14\&quot;],\&quot;updatedAt\&quot;:\&quot;2026-10-03T23:08:34.641Z\&quot;}]&quot;"/>
    <we:property name="daubee.unitGroups" value="{&quot;disabledGroups&quot;:[],&quot;customDictionaries&quot;:[{&quot;kind&quot;:&quot;file&quot;,&quot;name&quot;:&quot;dict_custom.yml&quot;,&quot;contents&quot;:{&quot;shipping&quot;:[{&quot;canonicalName&quot;:&quot;units&quot;,&quot;aliases&quot;:[&quot;unit&quot;]}]},&quot;id&quot;:&quot;1791065284016-dk6i8z0668&quot;,&quot;enabled&quot;:true}]}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A46E9-CC4A-4B91-822A-7B41D2623649}">
  <dimension ref="A1:D14"/>
  <sheetViews>
    <sheetView showGridLines="0" tabSelected="1" workbookViewId="0"/>
  </sheetViews>
  <sheetFormatPr defaultRowHeight="15" x14ac:dyDescent="0.25"/>
  <cols>
    <col min="3" max="3" width="11.25" bestFit="1" customWidth="1"/>
    <col min="4" max="4" width="10.5" customWidth="1"/>
  </cols>
  <sheetData>
    <row r="1" spans="1:4" ht="21" x14ac:dyDescent="0.35">
      <c r="A1" s="25" t="s">
        <v>5</v>
      </c>
    </row>
    <row r="3" spans="1:4" x14ac:dyDescent="0.25">
      <c r="A3" s="1" t="s">
        <v>0</v>
      </c>
      <c r="B3" s="1" t="s">
        <v>2</v>
      </c>
      <c r="C3" s="1" t="s">
        <v>3</v>
      </c>
      <c r="D3" s="1" t="s">
        <v>4</v>
      </c>
    </row>
    <row r="4" spans="1:4" x14ac:dyDescent="0.25">
      <c r="A4" s="4">
        <v>1</v>
      </c>
      <c r="B4" s="4">
        <v>98</v>
      </c>
      <c r="C4" s="7">
        <v>75.069999999999993</v>
      </c>
      <c r="D4" s="6">
        <f>B4*C4</f>
        <v>7356.86</v>
      </c>
    </row>
    <row r="5" spans="1:4" x14ac:dyDescent="0.25">
      <c r="A5" s="4">
        <v>2</v>
      </c>
      <c r="B5" s="4">
        <v>33</v>
      </c>
      <c r="C5" s="7">
        <v>51.9</v>
      </c>
      <c r="D5" s="6">
        <f t="shared" ref="D5:D13" si="0">B5*C5</f>
        <v>1712.7</v>
      </c>
    </row>
    <row r="6" spans="1:4" x14ac:dyDescent="0.25">
      <c r="A6" s="4">
        <v>3</v>
      </c>
      <c r="B6" s="4">
        <v>95</v>
      </c>
      <c r="C6" s="7">
        <v>46.95</v>
      </c>
      <c r="D6" s="6">
        <f t="shared" si="0"/>
        <v>4460.25</v>
      </c>
    </row>
    <row r="7" spans="1:4" x14ac:dyDescent="0.25">
      <c r="A7" s="4">
        <v>4</v>
      </c>
      <c r="B7" s="4">
        <v>14</v>
      </c>
      <c r="C7" s="7">
        <v>80.489999999999995</v>
      </c>
      <c r="D7" s="6">
        <f t="shared" si="0"/>
        <v>1126.8599999999999</v>
      </c>
    </row>
    <row r="8" spans="1:4" x14ac:dyDescent="0.25">
      <c r="A8" s="4">
        <v>5</v>
      </c>
      <c r="B8" s="4">
        <v>85</v>
      </c>
      <c r="C8" s="7">
        <v>64.290000000000006</v>
      </c>
      <c r="D8" s="6">
        <f t="shared" si="0"/>
        <v>5464.6500000000005</v>
      </c>
    </row>
    <row r="9" spans="1:4" x14ac:dyDescent="0.25">
      <c r="A9" s="4">
        <v>6</v>
      </c>
      <c r="B9" s="4">
        <v>74</v>
      </c>
      <c r="C9" s="7">
        <v>74.75</v>
      </c>
      <c r="D9" s="6">
        <f t="shared" si="0"/>
        <v>5531.5</v>
      </c>
    </row>
    <row r="10" spans="1:4" x14ac:dyDescent="0.25">
      <c r="A10" s="4">
        <v>7</v>
      </c>
      <c r="B10" s="4">
        <v>97</v>
      </c>
      <c r="C10" s="7">
        <v>41.79</v>
      </c>
      <c r="D10" s="6">
        <f t="shared" si="0"/>
        <v>4053.63</v>
      </c>
    </row>
    <row r="11" spans="1:4" x14ac:dyDescent="0.25">
      <c r="A11" s="4">
        <v>8</v>
      </c>
      <c r="B11" s="4">
        <v>19</v>
      </c>
      <c r="C11" s="7">
        <v>85.53</v>
      </c>
      <c r="D11" s="6">
        <f t="shared" si="0"/>
        <v>1625.07</v>
      </c>
    </row>
    <row r="12" spans="1:4" x14ac:dyDescent="0.25">
      <c r="A12" s="4">
        <v>9</v>
      </c>
      <c r="B12" s="4">
        <v>76</v>
      </c>
      <c r="C12" s="7">
        <v>63.43</v>
      </c>
      <c r="D12" s="6">
        <f t="shared" si="0"/>
        <v>4820.68</v>
      </c>
    </row>
    <row r="13" spans="1:4" x14ac:dyDescent="0.25">
      <c r="A13" s="4">
        <v>10</v>
      </c>
      <c r="B13" s="4">
        <v>24</v>
      </c>
      <c r="C13" s="7">
        <v>58.16</v>
      </c>
      <c r="D13" s="6">
        <f t="shared" si="0"/>
        <v>1395.84</v>
      </c>
    </row>
    <row r="14" spans="1:4" x14ac:dyDescent="0.25">
      <c r="A14" s="2" t="s">
        <v>1</v>
      </c>
      <c r="B14" s="8">
        <f>SUM(B4:B13)</f>
        <v>615</v>
      </c>
      <c r="C14" s="3">
        <f>D14/B14</f>
        <v>61.053723577235765</v>
      </c>
      <c r="D14" s="3">
        <f>SUM(D4:D13)</f>
        <v>37548.039999999994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66386-303D-4EFC-B833-FAAA79FAE122}">
  <dimension ref="A1:D15"/>
  <sheetViews>
    <sheetView showGridLines="0" workbookViewId="0"/>
  </sheetViews>
  <sheetFormatPr defaultRowHeight="15" x14ac:dyDescent="0.25"/>
  <cols>
    <col min="3" max="3" width="11.25" bestFit="1" customWidth="1"/>
    <col min="4" max="4" width="10.5" customWidth="1"/>
  </cols>
  <sheetData>
    <row r="1" spans="1:4" ht="21" x14ac:dyDescent="0.35">
      <c r="A1" s="25" t="s">
        <v>6</v>
      </c>
    </row>
    <row r="3" spans="1:4" ht="15.75" thickBot="1" x14ac:dyDescent="0.3">
      <c r="A3" s="1" t="s">
        <v>0</v>
      </c>
      <c r="B3" s="5" t="s">
        <v>2</v>
      </c>
      <c r="C3" s="5" t="s">
        <v>3</v>
      </c>
      <c r="D3" s="5" t="s">
        <v>4</v>
      </c>
    </row>
    <row r="4" spans="1:4" ht="15.75" thickTop="1" x14ac:dyDescent="0.25">
      <c r="A4" s="4">
        <v>1</v>
      </c>
      <c r="B4" s="11">
        <v>98</v>
      </c>
      <c r="C4" s="13">
        <v>75.069999999999993</v>
      </c>
      <c r="D4" s="9">
        <f>B4*C4</f>
        <v>7356.86</v>
      </c>
    </row>
    <row r="5" spans="1:4" x14ac:dyDescent="0.25">
      <c r="A5" s="4">
        <v>2</v>
      </c>
      <c r="B5" s="12">
        <v>33</v>
      </c>
      <c r="C5" s="14">
        <v>51.9</v>
      </c>
      <c r="D5" s="10">
        <f t="shared" ref="D5:D13" si="0">B5*C5</f>
        <v>1712.7</v>
      </c>
    </row>
    <row r="6" spans="1:4" x14ac:dyDescent="0.25">
      <c r="A6" s="4">
        <v>3</v>
      </c>
      <c r="B6" s="12">
        <v>95</v>
      </c>
      <c r="C6" s="14">
        <v>46.95</v>
      </c>
      <c r="D6" s="10">
        <f t="shared" si="0"/>
        <v>4460.25</v>
      </c>
    </row>
    <row r="7" spans="1:4" x14ac:dyDescent="0.25">
      <c r="A7" s="4">
        <v>4</v>
      </c>
      <c r="B7" s="12">
        <v>14</v>
      </c>
      <c r="C7" s="14">
        <v>80.489999999999995</v>
      </c>
      <c r="D7" s="10">
        <f t="shared" si="0"/>
        <v>1126.8599999999999</v>
      </c>
    </row>
    <row r="8" spans="1:4" x14ac:dyDescent="0.25">
      <c r="A8" s="4">
        <v>5</v>
      </c>
      <c r="B8" s="12">
        <v>85</v>
      </c>
      <c r="C8" s="14">
        <v>64.290000000000006</v>
      </c>
      <c r="D8" s="10">
        <f t="shared" si="0"/>
        <v>5464.6500000000005</v>
      </c>
    </row>
    <row r="9" spans="1:4" x14ac:dyDescent="0.25">
      <c r="A9" s="4">
        <v>6</v>
      </c>
      <c r="B9" s="12">
        <v>74</v>
      </c>
      <c r="C9" s="14">
        <v>74.75</v>
      </c>
      <c r="D9" s="10">
        <f t="shared" si="0"/>
        <v>5531.5</v>
      </c>
    </row>
    <row r="10" spans="1:4" x14ac:dyDescent="0.25">
      <c r="A10" s="4">
        <v>7</v>
      </c>
      <c r="B10" s="12">
        <v>97</v>
      </c>
      <c r="C10" s="14">
        <v>41.79</v>
      </c>
      <c r="D10" s="10">
        <f t="shared" si="0"/>
        <v>4053.63</v>
      </c>
    </row>
    <row r="11" spans="1:4" x14ac:dyDescent="0.25">
      <c r="A11" s="4">
        <v>8</v>
      </c>
      <c r="B11" s="12">
        <v>19</v>
      </c>
      <c r="C11" s="14">
        <v>85.53</v>
      </c>
      <c r="D11" s="10">
        <f t="shared" si="0"/>
        <v>1625.07</v>
      </c>
    </row>
    <row r="12" spans="1:4" x14ac:dyDescent="0.25">
      <c r="A12" s="4">
        <v>9</v>
      </c>
      <c r="B12" s="12">
        <v>76</v>
      </c>
      <c r="C12" s="14">
        <v>63.43</v>
      </c>
      <c r="D12" s="10">
        <f t="shared" si="0"/>
        <v>4820.68</v>
      </c>
    </row>
    <row r="13" spans="1:4" ht="15.75" thickBot="1" x14ac:dyDescent="0.3">
      <c r="A13" s="4">
        <v>10</v>
      </c>
      <c r="B13" s="12">
        <v>24</v>
      </c>
      <c r="C13" s="14">
        <v>58.16</v>
      </c>
      <c r="D13" s="10">
        <f t="shared" si="0"/>
        <v>1395.84</v>
      </c>
    </row>
    <row r="14" spans="1:4" ht="16.5" thickTop="1" thickBot="1" x14ac:dyDescent="0.3">
      <c r="A14" s="2" t="s">
        <v>1</v>
      </c>
      <c r="B14" s="17">
        <f>SUM(B4:B13)</f>
        <v>615</v>
      </c>
      <c r="C14" s="15">
        <f>D14/B14</f>
        <v>61.053723577235765</v>
      </c>
      <c r="D14" s="16">
        <f>SUM(D4:D13)</f>
        <v>37548.039999999994</v>
      </c>
    </row>
    <row r="15" spans="1:4" ht="15.75" thickTop="1" x14ac:dyDescent="0.25"/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97641-A0F3-4938-A645-00F2E8F55560}">
  <dimension ref="A1:D15"/>
  <sheetViews>
    <sheetView showGridLines="0" workbookViewId="0"/>
  </sheetViews>
  <sheetFormatPr defaultRowHeight="15" x14ac:dyDescent="0.25"/>
  <cols>
    <col min="3" max="3" width="11.25" bestFit="1" customWidth="1"/>
    <col min="4" max="4" width="10.5" customWidth="1"/>
  </cols>
  <sheetData>
    <row r="1" spans="1:4" ht="21" x14ac:dyDescent="0.35">
      <c r="A1" s="25" t="s">
        <v>7</v>
      </c>
    </row>
    <row r="3" spans="1:4" ht="15.75" thickBot="1" x14ac:dyDescent="0.3">
      <c r="A3" s="1" t="s">
        <v>0</v>
      </c>
      <c r="B3" s="5" t="s">
        <v>2</v>
      </c>
      <c r="C3" s="5" t="s">
        <v>3</v>
      </c>
      <c r="D3" s="5" t="s">
        <v>4</v>
      </c>
    </row>
    <row r="4" spans="1:4" ht="16.5" thickTop="1" thickBot="1" x14ac:dyDescent="0.3">
      <c r="A4" s="4">
        <v>1</v>
      </c>
      <c r="B4" s="20">
        <f t="shared" ref="B4:B13" ca="1" si="0">RANDBETWEEN(10,100)</f>
        <v>64</v>
      </c>
      <c r="C4" s="18">
        <v>75.069999999999993</v>
      </c>
      <c r="D4" s="21">
        <f ca="1">B4*C4</f>
        <v>4804.4799999999996</v>
      </c>
    </row>
    <row r="5" spans="1:4" ht="16.5" thickTop="1" thickBot="1" x14ac:dyDescent="0.3">
      <c r="A5" s="4">
        <v>2</v>
      </c>
      <c r="B5" s="20">
        <f t="shared" ca="1" si="0"/>
        <v>72</v>
      </c>
      <c r="C5" s="7">
        <v>51.9</v>
      </c>
      <c r="D5" s="21">
        <f t="shared" ref="D5:D13" ca="1" si="1">B5*C5</f>
        <v>3736.7999999999997</v>
      </c>
    </row>
    <row r="6" spans="1:4" ht="16.5" thickTop="1" thickBot="1" x14ac:dyDescent="0.3">
      <c r="A6" s="4">
        <v>3</v>
      </c>
      <c r="B6" s="20">
        <f t="shared" ca="1" si="0"/>
        <v>97</v>
      </c>
      <c r="C6" s="7">
        <v>46.95</v>
      </c>
      <c r="D6" s="21">
        <f t="shared" ca="1" si="1"/>
        <v>4554.1500000000005</v>
      </c>
    </row>
    <row r="7" spans="1:4" ht="16.5" thickTop="1" thickBot="1" x14ac:dyDescent="0.3">
      <c r="A7" s="4">
        <v>4</v>
      </c>
      <c r="B7" s="20">
        <f t="shared" ca="1" si="0"/>
        <v>32</v>
      </c>
      <c r="C7" s="7">
        <v>80.489999999999995</v>
      </c>
      <c r="D7" s="21">
        <f t="shared" ca="1" si="1"/>
        <v>2575.6799999999998</v>
      </c>
    </row>
    <row r="8" spans="1:4" ht="16.5" thickTop="1" thickBot="1" x14ac:dyDescent="0.3">
      <c r="A8" s="4">
        <v>5</v>
      </c>
      <c r="B8" s="20">
        <f t="shared" ca="1" si="0"/>
        <v>26</v>
      </c>
      <c r="C8" s="7">
        <v>64.290000000000006</v>
      </c>
      <c r="D8" s="21">
        <f t="shared" ca="1" si="1"/>
        <v>1671.5400000000002</v>
      </c>
    </row>
    <row r="9" spans="1:4" ht="16.5" thickTop="1" thickBot="1" x14ac:dyDescent="0.3">
      <c r="A9" s="4">
        <v>6</v>
      </c>
      <c r="B9" s="20">
        <f t="shared" ca="1" si="0"/>
        <v>33</v>
      </c>
      <c r="C9" s="7">
        <v>74.75</v>
      </c>
      <c r="D9" s="21">
        <f t="shared" ca="1" si="1"/>
        <v>2466.75</v>
      </c>
    </row>
    <row r="10" spans="1:4" ht="16.5" thickTop="1" thickBot="1" x14ac:dyDescent="0.3">
      <c r="A10" s="4">
        <v>7</v>
      </c>
      <c r="B10" s="20">
        <f t="shared" ca="1" si="0"/>
        <v>74</v>
      </c>
      <c r="C10" s="7">
        <v>41.79</v>
      </c>
      <c r="D10" s="21">
        <f t="shared" ca="1" si="1"/>
        <v>3092.46</v>
      </c>
    </row>
    <row r="11" spans="1:4" ht="16.5" thickTop="1" thickBot="1" x14ac:dyDescent="0.3">
      <c r="A11" s="4">
        <v>8</v>
      </c>
      <c r="B11" s="20">
        <f t="shared" ca="1" si="0"/>
        <v>40</v>
      </c>
      <c r="C11" s="7">
        <v>85.53</v>
      </c>
      <c r="D11" s="21">
        <f t="shared" ca="1" si="1"/>
        <v>3421.2</v>
      </c>
    </row>
    <row r="12" spans="1:4" ht="16.5" thickTop="1" thickBot="1" x14ac:dyDescent="0.3">
      <c r="A12" s="4">
        <v>9</v>
      </c>
      <c r="B12" s="20">
        <f t="shared" ca="1" si="0"/>
        <v>56</v>
      </c>
      <c r="C12" s="7">
        <v>63.43</v>
      </c>
      <c r="D12" s="21">
        <f t="shared" ca="1" si="1"/>
        <v>3552.08</v>
      </c>
    </row>
    <row r="13" spans="1:4" ht="16.5" thickTop="1" thickBot="1" x14ac:dyDescent="0.3">
      <c r="A13" s="4">
        <v>10</v>
      </c>
      <c r="B13" s="20">
        <f t="shared" ca="1" si="0"/>
        <v>53</v>
      </c>
      <c r="C13" s="7">
        <v>58.16</v>
      </c>
      <c r="D13" s="21">
        <f t="shared" ca="1" si="1"/>
        <v>3082.48</v>
      </c>
    </row>
    <row r="14" spans="1:4" ht="16.5" thickTop="1" thickBot="1" x14ac:dyDescent="0.3">
      <c r="A14" s="2" t="s">
        <v>1</v>
      </c>
      <c r="B14" s="22">
        <f ca="1">SUM(B4:B13)</f>
        <v>547</v>
      </c>
      <c r="C14" s="19">
        <f ca="1">D14/B14</f>
        <v>60.251590493601469</v>
      </c>
      <c r="D14" s="23">
        <f ca="1">SUM(D4:D13)</f>
        <v>32957.620000000003</v>
      </c>
    </row>
    <row r="15" spans="1:4" ht="15.75" thickTop="1" x14ac:dyDescent="0.25"/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7E7BB-DEA2-4D18-AB23-B3C3B39A0352}">
  <dimension ref="A1:D15"/>
  <sheetViews>
    <sheetView showGridLines="0" workbookViewId="0"/>
  </sheetViews>
  <sheetFormatPr defaultRowHeight="15" x14ac:dyDescent="0.25"/>
  <cols>
    <col min="3" max="3" width="11.25" bestFit="1" customWidth="1"/>
    <col min="4" max="4" width="15" bestFit="1" customWidth="1"/>
  </cols>
  <sheetData>
    <row r="1" spans="1:4" ht="21" x14ac:dyDescent="0.35">
      <c r="A1" s="25" t="s">
        <v>8</v>
      </c>
    </row>
    <row r="3" spans="1:4" ht="15.75" thickBot="1" x14ac:dyDescent="0.3">
      <c r="A3" s="1" t="s">
        <v>0</v>
      </c>
      <c r="B3" s="5" t="s">
        <v>2</v>
      </c>
      <c r="C3" s="5" t="s">
        <v>3</v>
      </c>
      <c r="D3" s="5" t="s">
        <v>4</v>
      </c>
    </row>
    <row r="4" spans="1:4" ht="15.75" thickTop="1" x14ac:dyDescent="0.25">
      <c r="A4" s="4">
        <v>1</v>
      </c>
      <c r="B4" s="11">
        <v>98</v>
      </c>
      <c r="C4" s="13">
        <v>75.069999999999993</v>
      </c>
      <c r="D4" s="9">
        <f>B4*C4</f>
        <v>7356.86</v>
      </c>
    </row>
    <row r="5" spans="1:4" x14ac:dyDescent="0.25">
      <c r="A5" s="4">
        <v>2</v>
      </c>
      <c r="B5" s="12">
        <v>33</v>
      </c>
      <c r="C5" s="14">
        <v>51.9</v>
      </c>
      <c r="D5" s="10">
        <f t="shared" ref="D5:D13" si="0">B5*C5</f>
        <v>1712.7</v>
      </c>
    </row>
    <row r="6" spans="1:4" x14ac:dyDescent="0.25">
      <c r="A6" s="4">
        <v>3</v>
      </c>
      <c r="B6" s="12">
        <v>95</v>
      </c>
      <c r="C6" s="14">
        <v>46.95</v>
      </c>
      <c r="D6" s="10">
        <f t="shared" si="0"/>
        <v>4460.25</v>
      </c>
    </row>
    <row r="7" spans="1:4" x14ac:dyDescent="0.25">
      <c r="A7" s="4">
        <v>4</v>
      </c>
      <c r="B7" s="12">
        <v>14</v>
      </c>
      <c r="C7" s="14">
        <v>80.489999999999995</v>
      </c>
      <c r="D7" s="10">
        <f t="shared" si="0"/>
        <v>1126.8599999999999</v>
      </c>
    </row>
    <row r="8" spans="1:4" x14ac:dyDescent="0.25">
      <c r="A8" s="4">
        <v>5</v>
      </c>
      <c r="B8" s="12">
        <v>85</v>
      </c>
      <c r="C8" s="14">
        <v>64.290000000000006</v>
      </c>
      <c r="D8" s="10">
        <f t="shared" si="0"/>
        <v>5464.6500000000005</v>
      </c>
    </row>
    <row r="9" spans="1:4" x14ac:dyDescent="0.25">
      <c r="A9" s="4">
        <v>6</v>
      </c>
      <c r="B9" s="12">
        <v>74</v>
      </c>
      <c r="C9" s="14">
        <v>74.75</v>
      </c>
      <c r="D9" s="10">
        <f t="shared" si="0"/>
        <v>5531.5</v>
      </c>
    </row>
    <row r="10" spans="1:4" x14ac:dyDescent="0.25">
      <c r="A10" s="4">
        <v>7</v>
      </c>
      <c r="B10" s="12">
        <v>97</v>
      </c>
      <c r="C10" s="14">
        <v>41.79</v>
      </c>
      <c r="D10" s="10">
        <f t="shared" si="0"/>
        <v>4053.63</v>
      </c>
    </row>
    <row r="11" spans="1:4" x14ac:dyDescent="0.25">
      <c r="A11" s="4">
        <v>8</v>
      </c>
      <c r="B11" s="12">
        <v>19</v>
      </c>
      <c r="C11" s="14">
        <v>85.53</v>
      </c>
      <c r="D11" s="10">
        <f t="shared" si="0"/>
        <v>1625.07</v>
      </c>
    </row>
    <row r="12" spans="1:4" x14ac:dyDescent="0.25">
      <c r="A12" s="4">
        <v>9</v>
      </c>
      <c r="B12" s="12">
        <v>76</v>
      </c>
      <c r="C12" s="14">
        <v>63.43</v>
      </c>
      <c r="D12" s="10">
        <f t="shared" si="0"/>
        <v>4820.68</v>
      </c>
    </row>
    <row r="13" spans="1:4" ht="15.75" thickBot="1" x14ac:dyDescent="0.3">
      <c r="A13" s="4">
        <v>10</v>
      </c>
      <c r="B13" s="12">
        <v>24</v>
      </c>
      <c r="C13" s="14">
        <v>58.16</v>
      </c>
      <c r="D13" s="10">
        <f t="shared" si="0"/>
        <v>1395.84</v>
      </c>
    </row>
    <row r="14" spans="1:4" ht="16.5" thickTop="1" thickBot="1" x14ac:dyDescent="0.3">
      <c r="A14" s="2" t="s">
        <v>1</v>
      </c>
      <c r="B14" s="17">
        <f>SUM(B4:B13)</f>
        <v>615</v>
      </c>
      <c r="C14" s="19">
        <f>D14/B14</f>
        <v>2292447.6550269909</v>
      </c>
      <c r="D14" s="16">
        <f>SUM(D4:D13)^2</f>
        <v>1409855307.8415995</v>
      </c>
    </row>
    <row r="15" spans="1:4" ht="15.75" thickTop="1" x14ac:dyDescent="0.25"/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79234-B335-4B49-A1B5-76D5923570CC}">
  <dimension ref="A1"/>
  <sheetViews>
    <sheetView showGridLines="0" workbookViewId="0"/>
  </sheetViews>
  <sheetFormatPr defaultRowHeight="15" x14ac:dyDescent="0.25"/>
  <cols>
    <col min="1" max="16384" width="9" style="24"/>
  </cols>
  <sheetData>
    <row r="1" spans="1:1" ht="21" x14ac:dyDescent="0.35">
      <c r="A1" s="25" t="s">
        <v>9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Setup</vt:lpstr>
      <vt:lpstr>Test 1</vt:lpstr>
      <vt:lpstr>Test 2</vt:lpstr>
      <vt:lpstr>Test 3</vt:lpstr>
      <vt:lpstr>Other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2026-10-04T01:30:49Z</dcterms:created>
  <dcterms:modified xsi:type="dcterms:W3CDTF">2026-10-04T01:30:52Z</dcterms:modified>
</cp:coreProperties>
</file>