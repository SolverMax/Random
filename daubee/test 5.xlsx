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 defaultThemeVersion="124226"/>
  <xr:revisionPtr revIDLastSave="11011" documentId="8_{237FF275-6803-46B6-8AC3-53436357D2F1}" xr6:coauthVersionLast="47" xr6:coauthVersionMax="47" xr10:uidLastSave="{D9CCF06C-FE6D-4BFB-8373-3634CFD0F576}"/>
  <bookViews>
    <workbookView xWindow="28680" yWindow="-120" windowWidth="29040" windowHeight="16440" xr2:uid="{00000000-000D-0000-FFFF-FFFF00000000}"/>
  </bookViews>
  <sheets>
    <sheet name="PV for Part 1" sheetId="2" r:id="rId1"/>
    <sheet name="Observations" sheetId="3" r:id="rId2"/>
  </sheets>
  <definedNames>
    <definedName name="_xlnm.Print_Area" localSheetId="0">'PV for Part 1'!$A$1:$H$32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6" i="2"/>
  <c r="E26" i="2" l="1"/>
  <c r="P26" i="2" l="1"/>
  <c r="H26" i="2"/>
  <c r="S26" i="2"/>
  <c r="K26" i="2"/>
  <c r="G26" i="2"/>
  <c r="V26" i="2"/>
  <c r="R26" i="2"/>
  <c r="N26" i="2"/>
  <c r="J26" i="2"/>
  <c r="F26" i="2"/>
  <c r="T26" i="2"/>
  <c r="L26" i="2"/>
  <c r="D26" i="2"/>
  <c r="O26" i="2"/>
  <c r="U26" i="2"/>
  <c r="Q26" i="2"/>
  <c r="M26" i="2"/>
  <c r="I26" i="2"/>
  <c r="T25" i="2" l="1"/>
  <c r="D24" i="2" l="1"/>
  <c r="E24" i="2" s="1"/>
  <c r="C27" i="2"/>
  <c r="C28" i="2" s="1"/>
  <c r="R25" i="2"/>
  <c r="G25" i="2"/>
  <c r="L25" i="2"/>
  <c r="H25" i="2"/>
  <c r="S25" i="2"/>
  <c r="D25" i="2"/>
  <c r="U25" i="2"/>
  <c r="Q25" i="2"/>
  <c r="M25" i="2"/>
  <c r="I25" i="2"/>
  <c r="E25" i="2"/>
  <c r="N25" i="2"/>
  <c r="J25" i="2"/>
  <c r="O25" i="2"/>
  <c r="F25" i="2"/>
  <c r="K25" i="2"/>
  <c r="P25" i="2"/>
  <c r="V25" i="2"/>
  <c r="E27" i="2" l="1"/>
  <c r="D27" i="2"/>
  <c r="D28" i="2" s="1"/>
  <c r="F24" i="2"/>
  <c r="F27" i="2" s="1"/>
  <c r="G24" i="2" l="1"/>
  <c r="G27" i="2" s="1"/>
  <c r="E28" i="2"/>
  <c r="F28" i="2" s="1"/>
  <c r="H24" i="2" l="1"/>
  <c r="H27" i="2" s="1"/>
  <c r="I24" i="2" l="1"/>
  <c r="I27" i="2" s="1"/>
  <c r="G28" i="2"/>
  <c r="H28" i="2" l="1"/>
  <c r="J24" i="2"/>
  <c r="J27" i="2" s="1"/>
  <c r="I28" i="2" l="1"/>
  <c r="K24" i="2"/>
  <c r="K27" i="2" s="1"/>
  <c r="J28" i="2" l="1"/>
  <c r="K28" i="2" s="1"/>
  <c r="L24" i="2"/>
  <c r="L27" i="2" s="1"/>
  <c r="M24" i="2" l="1"/>
  <c r="M27" i="2" s="1"/>
  <c r="L28" i="2"/>
  <c r="M28" i="2" l="1"/>
  <c r="N24" i="2"/>
  <c r="N27" i="2" s="1"/>
  <c r="O24" i="2" l="1"/>
  <c r="O27" i="2" s="1"/>
  <c r="N28" i="2"/>
  <c r="O28" i="2" l="1"/>
  <c r="P24" i="2"/>
  <c r="P27" i="2" s="1"/>
  <c r="Q24" i="2" l="1"/>
  <c r="Q27" i="2" s="1"/>
  <c r="P28" i="2"/>
  <c r="Q28" i="2" l="1"/>
  <c r="R24" i="2"/>
  <c r="R27" i="2" s="1"/>
  <c r="R28" i="2" l="1"/>
  <c r="S24" i="2"/>
  <c r="S27" i="2" s="1"/>
  <c r="T24" i="2" l="1"/>
  <c r="T27" i="2" s="1"/>
  <c r="S28" i="2"/>
  <c r="U24" i="2" l="1"/>
  <c r="U27" i="2" s="1"/>
  <c r="T28" i="2"/>
  <c r="U28" i="2" l="1"/>
  <c r="V24" i="2"/>
  <c r="V27" i="2" s="1"/>
  <c r="V28" i="2" l="1"/>
  <c r="C30" i="2" s="1"/>
  <c r="C32" i="2"/>
  <c r="C31" i="2"/>
  <c r="C29" i="2"/>
</calcChain>
</file>

<file path=xl/sharedStrings.xml><?xml version="1.0" encoding="utf-8"?>
<sst xmlns="http://schemas.openxmlformats.org/spreadsheetml/2006/main" count="49" uniqueCount="47">
  <si>
    <t>Year</t>
  </si>
  <si>
    <t>Unit</t>
  </si>
  <si>
    <t>Hours/year</t>
  </si>
  <si>
    <t>hours</t>
  </si>
  <si>
    <t>years</t>
  </si>
  <si>
    <t>$ per unit</t>
  </si>
  <si>
    <t>Energy costs</t>
  </si>
  <si>
    <t>Annual cash flow</t>
  </si>
  <si>
    <t>Cumulative cash flow</t>
  </si>
  <si>
    <t>= A</t>
  </si>
  <si>
    <t>LED unit cleaning</t>
  </si>
  <si>
    <t xml:space="preserve">$/unit/annum </t>
  </si>
  <si>
    <t>Number of LED units</t>
  </si>
  <si>
    <t>Units</t>
  </si>
  <si>
    <t>Input values</t>
  </si>
  <si>
    <t>Inputs for calculations</t>
  </si>
  <si>
    <t>Ref #</t>
  </si>
  <si>
    <t>Percent</t>
  </si>
  <si>
    <t>Average annual cost</t>
  </si>
  <si>
    <t>Energy (energy supply only - excluding Lines Co charge)</t>
  </si>
  <si>
    <t>Energy consumption - LEDs units - full output</t>
  </si>
  <si>
    <t>PV - 8% discount rate</t>
  </si>
  <si>
    <t>PV - 4% discount rate</t>
  </si>
  <si>
    <t>Energy consumption - HPS units</t>
  </si>
  <si>
    <t>Number of HPS units</t>
  </si>
  <si>
    <t>Option 1 - Maintain HPS</t>
  </si>
  <si>
    <t>Present value (PV) cost of HPS option - 20 year investment at 6% discount rate</t>
  </si>
  <si>
    <t>Lamp replacement</t>
  </si>
  <si>
    <t>Reduction in total energy use if LEDs are dimmed</t>
  </si>
  <si>
    <t>HPS lamp replacement cost</t>
  </si>
  <si>
    <t>HPS lamp life</t>
  </si>
  <si>
    <t>Supply cost LED luminaire</t>
  </si>
  <si>
    <t>Installation cost LED luminaire</t>
  </si>
  <si>
    <t>PV method calculations - For road lighting network Part 1</t>
  </si>
  <si>
    <t>Name of this part of the road lighting network:</t>
  </si>
  <si>
    <t>Briefly describe this part of the network here</t>
  </si>
  <si>
    <t>Write a name for this part of the road lighting network in this cell - then copy that name into the appropriate cell in the 'Summary for network' sheet</t>
  </si>
  <si>
    <t>Reduced Lines Company charge per LED unit</t>
  </si>
  <si>
    <t>Annual rate of replacement of HPS luminaires (end of service life)</t>
  </si>
  <si>
    <t xml:space="preserve">End of service life luminaire replacement programme </t>
  </si>
  <si>
    <t>$ per unit - labour, plant &amp; lamp supply - including traffic management</t>
  </si>
  <si>
    <t>$ per unit - labour &amp; plant - including traffic management</t>
  </si>
  <si>
    <t>$ per unit - labour, plant &amp; any materials - including traffic management but excluding luminaire supply cost</t>
  </si>
  <si>
    <t>Observations</t>
  </si>
  <si>
    <t>$/kWh</t>
  </si>
  <si>
    <t>kW/lamp</t>
  </si>
  <si>
    <t>Percent/year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</si>
</sst>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Lucida Sans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u/>
      <sz val="14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/>
      <diagonal/>
    </border>
    <border>
      <left style="double">
        <color rgb="FF00B0F0"/>
      </left>
      <right style="double">
        <color rgb="FF00B0F0"/>
      </right>
      <top/>
      <bottom style="double">
        <color rgb="FF00B0F0"/>
      </bottom>
      <diagonal/>
    </border>
    <border>
      <left style="double">
        <color rgb="FF00B0F0"/>
      </left>
      <right/>
      <top/>
      <bottom/>
      <diagonal/>
    </border>
    <border>
      <left/>
      <right style="double">
        <color rgb="FF00B0F0"/>
      </right>
      <top/>
      <bottom/>
      <diagonal/>
    </border>
    <border>
      <left style="double">
        <color rgb="FFD32F2F"/>
      </left>
      <right/>
      <top style="double">
        <color rgb="FFD32F2F"/>
      </top>
      <bottom style="double">
        <color rgb="FFD32F2F"/>
      </bottom>
      <diagonal/>
    </border>
    <border>
      <left style="double">
        <color rgb="FFD32F2F"/>
      </left>
      <right style="double">
        <color rgb="FFD32F2F"/>
      </right>
      <top style="double">
        <color rgb="FFD32F2F"/>
      </top>
      <bottom style="double">
        <color rgb="FFD32F2F"/>
      </bottom>
      <diagonal/>
    </border>
    <border>
      <left style="double">
        <color rgb="FFD32F2F"/>
      </left>
      <right/>
      <top style="double">
        <color rgb="FFD32F2F"/>
      </top>
      <bottom/>
      <diagonal/>
    </border>
    <border>
      <left style="double">
        <color rgb="FFD32F2F"/>
      </left>
      <right style="double">
        <color rgb="FFD32F2F"/>
      </right>
      <top style="double">
        <color rgb="FFD32F2F"/>
      </top>
      <bottom/>
      <diagonal/>
    </border>
    <border>
      <left style="double">
        <color rgb="FFFFEB3B"/>
      </left>
      <right style="double">
        <color rgb="FFFFEB3B"/>
      </right>
      <top style="double">
        <color rgb="FFFFEB3B"/>
      </top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40">
    <xf numFmtId="0" fontId="0" fillId="0" borderId="0" xfId="0"/>
    <xf numFmtId="0" fontId="0" fillId="0" borderId="1" xfId="0" applyBorder="1" applyProtection="1">
      <protection locked="0"/>
    </xf>
    <xf numFmtId="3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1" xfId="0" applyBorder="1"/>
    <xf numFmtId="0" fontId="1" fillId="0" borderId="1" xfId="0" applyFont="1" applyBorder="1" applyAlignment="1">
      <alignment horizontal="right"/>
    </xf>
    <xf numFmtId="3" fontId="1" fillId="0" borderId="0" xfId="0" applyNumberFormat="1" applyFont="1"/>
    <xf numFmtId="3" fontId="0" fillId="0" borderId="0" xfId="0" applyNumberFormat="1"/>
    <xf numFmtId="3" fontId="0" fillId="0" borderId="1" xfId="0" applyNumberFormat="1" applyBorder="1"/>
    <xf numFmtId="3" fontId="0" fillId="0" borderId="0" xfId="0" applyNumberFormat="1" applyAlignment="1">
      <alignment horizontal="left" vertical="top" wrapText="1"/>
    </xf>
    <xf numFmtId="3" fontId="1" fillId="2" borderId="0" xfId="0" quotePrefix="1" applyNumberFormat="1" applyFont="1" applyFill="1"/>
    <xf numFmtId="3" fontId="1" fillId="0" borderId="0" xfId="0" quotePrefix="1" applyNumberFormat="1" applyFont="1"/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0" fillId="3" borderId="0" xfId="0" applyFill="1" applyProtection="1">
      <protection locked="0"/>
    </xf>
    <xf numFmtId="0" fontId="1" fillId="0" borderId="0" xfId="0" applyFont="1" applyProtection="1">
      <protection locked="0"/>
    </xf>
    <xf numFmtId="0" fontId="0" fillId="3" borderId="2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7" fillId="0" borderId="0" xfId="2" applyFont="1"/>
    <xf numFmtId="0" fontId="8" fillId="0" borderId="0" xfId="2" applyFont="1"/>
    <xf numFmtId="2" fontId="0" fillId="3" borderId="4" xfId="0" applyNumberFormat="1" applyFill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2" fontId="0" fillId="3" borderId="5" xfId="0" applyNumberFormat="1" applyFill="1" applyBorder="1" applyProtection="1">
      <protection locked="0"/>
    </xf>
    <xf numFmtId="2" fontId="0" fillId="3" borderId="2" xfId="0" applyNumberFormat="1" applyFill="1" applyBorder="1" applyProtection="1">
      <protection locked="0"/>
    </xf>
    <xf numFmtId="49" fontId="5" fillId="0" borderId="0" xfId="0" applyNumberFormat="1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3" fontId="0" fillId="0" borderId="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1" fillId="2" borderId="11" xfId="0" applyNumberFormat="1" applyFont="1" applyFill="1" applyBorder="1"/>
    <xf numFmtId="3" fontId="0" fillId="0" borderId="12" xfId="0" applyNumberFormat="1" applyBorder="1"/>
  </cellXfs>
  <cellStyles count="3">
    <cellStyle name="Normal" xfId="0" builtinId="0"/>
    <cellStyle name="Normal 2" xfId="1" xr:uid="{00000000-0005-0000-0000-000001000000}"/>
    <cellStyle name="Normal 3" xfId="2" xr:uid="{2523EDBC-A1B2-4C70-B4DD-A3EEF3EAAD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12</xdr:col>
      <xdr:colOff>219075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40B81F-9247-4C21-84AB-A3C56B0D97A8}"/>
            </a:ext>
          </a:extLst>
        </xdr:cNvPr>
        <xdr:cNvSpPr txBox="1"/>
      </xdr:nvSpPr>
      <xdr:spPr>
        <a:xfrm>
          <a:off x="0" y="428625"/>
          <a:ext cx="7534275" cy="533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aseline="0">
              <a:latin typeface="Aptos" panose="020B0004020202020204" pitchFamily="34" charset="0"/>
            </a:rPr>
            <a:t>Redefine C6:C8 units to $/kWh and kW/lamp, with numbers adjusted accordingly.</a:t>
          </a:r>
        </a:p>
        <a:p>
          <a:r>
            <a:rPr lang="en-NZ" sz="1100" baseline="0">
              <a:latin typeface="Aptos" panose="020B0004020202020204" pitchFamily="34" charset="0"/>
            </a:rPr>
            <a:t>Removed "/(100*1000)" from C24.</a:t>
          </a:r>
        </a:p>
        <a:p>
          <a:r>
            <a:rPr lang="en-NZ" sz="1100" baseline="0">
              <a:latin typeface="Aptos" panose="020B0004020202020204" pitchFamily="34" charset="0"/>
            </a:rPr>
            <a:t>C24:V24 marked as correct units.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Click 'Check'.</a:t>
          </a:r>
        </a:p>
        <a:p>
          <a:r>
            <a:rPr lang="en-N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C24:V24 marked as error: 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 mismatch: expected "US_dollar/year", got "US_dollar-hour-kW/kWh". That is, failed to recognise that hour-kW = kWh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second attempt.</a:t>
          </a:r>
        </a:p>
        <a:p>
          <a:endParaRPr lang="en-NZ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Attempted to override units for C24:V24. No change.</a:t>
          </a:r>
          <a:endParaRPr lang="en-NZ" sz="1100" baseline="0">
            <a:latin typeface="Aptos" panose="020B0004020202020204" pitchFamily="34" charset="0"/>
          </a:endParaRP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C12 should be %/year. Not clear how to specify that. Consequently, derived unit in C26 is wrong.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endParaRPr lang="en-NZ" sz="1100"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16136C-99FE-41BA-A6A3-317CDF08719F}">
  <we:reference id="0f55b8dd-3c4a-4282-b177-f2a35808fd17" version="1.0.0.0" store="\\study\daubee" storeType="Filesystem"/>
  <we:alternateReferences/>
  <we:properties>
    <we:property name="daubee.annotations" value="&quot;[{\&quot;id\&quot;:\&quot;ann_mut2z69c_tbpzf2\&quot;,\&quot;scope\&quot;:{\&quot;kind\&quot;:\&quot;cell\&quot;,\&quot;sheetId\&quot;:\&quot;{00000000-0001-0000-0100-000000000000}\&quot;,\&quot;sheetName\&quot;:\&quot;PV for Part 1\&quot;,\&quot;address\&quot;:\&quot;C9\&quot;},\&quot;formula\&quot;:\&quot;hour\&quot;,\&quot;createdAt\&quot;:\&quot;2026-10-04T00:26:39.600Z\&quot;,\&quot;updatedAt\&quot;:\&quot;2026-10-04T00:26:39.600Z\&quot;},{\&quot;id\&quot;:\&quot;ann_mut308sw_f2te7n\&quot;,\&quot;scope\&quot;:{\&quot;kind\&quot;:\&quot;cell\&quot;,\&quot;sheetId\&quot;:\&quot;{00000000-0001-0000-0100-000000000000}\&quot;,\&quot;sheetName\&quot;:\&quot;PV for Part 1\&quot;,\&quot;address\&quot;:\&quot;C11\&quot;},\&quot;formula\&quot;:\&quot;year\&quot;,\&quot;createdAt\&quot;:\&quot;2026-10-04T00:27:29.552Z\&quot;,\&quot;updatedAt\&quot;:\&quot;2026-10-04T00:27:29.552Z\&quot;},{\&quot;id\&quot;:\&quot;ann_mut30zm8_2k7c3l\&quot;,\&quot;scope\&quot;:{\&quot;kind\&quot;:\&quot;range\&quot;,\&quot;sheetId\&quot;:\&quot;{00000000-0001-0000-0100-000000000000}\&quot;,\&quot;sheetName\&quot;:\&quot;PV for Part 1\&quot;,\&quot;address\&quot;:\&quot;C16:C17\&quot;},\&quot;formula\&quot;:\&quot;lamp\&quot;,\&quot;createdAt\&quot;:\&quot;2026-10-04T00:28:04.304Z\&quot;,\&quot;updatedAt\&quot;:\&quot;2026-10-04T00:28:04.304Z\&quot;},{\&quot;id\&quot;:\&quot;ann_mut31fvd_j1035b\&quot;,\&quot;scope\&quot;:{\&quot;kind\&quot;:\&quot;cell\&quot;,\&quot;sheetId\&quot;:\&quot;{00000000-0001-0000-0100-000000000000}\&quot;,\&quot;sheetName\&quot;:\&quot;PV for Part 1\&quot;,\&quot;address\&quot;:\&quot;C18\&quot;},\&quot;formula\&quot;:\&quot;US_dollar/lamp/year\&quot;,\&quot;createdAt\&quot;:\&quot;2026-10-04T00:28:25.369Z\&quot;,\&quot;updatedAt\&quot;:\&quot;2026-10-04T00:28:25.369Z\&quot;},{\&quot;id\&quot;:\&quot;ann_mut48mcv_9t3kf8\&quot;,\&quot;scope\&quot;:{\&quot;kind\&quot;:\&quot;cell\&quot;,\&quot;sheetId\&quot;:\&quot;{00000000-0001-0000-0100-000000000000}\&quot;,\&quot;sheetName\&quot;:\&quot;PV for Part 1\&quot;,\&quot;address\&quot;:\&quot;C6\&quot;},\&quot;formula\&quot;:\&quot;US_dollar/kWh\&quot;,\&quot;createdAt\&quot;:\&quot;2026-10-04T01:01:59.982Z\&quot;,\&quot;updatedAt\&quot;:\&quot;2026-10-04T01:01:59.982Z\&quot;},{\&quot;id\&quot;:\&quot;ann_mut49cga_mvj35s\&quot;,\&quot;scope\&quot;:{\&quot;kind\&quot;:\&quot;range\&quot;,\&quot;sheetId\&quot;:\&quot;{00000000-0001-0000-0100-000000000000}\&quot;,\&quot;sheetName\&quot;:\&quot;PV for Part 1\&quot;,\&quot;address\&quot;:\&quot;C7:C8\&quot;},\&quot;formula\&quot;:\&quot;kW/lamp\&quot;,\&quot;createdAt\&quot;:\&quot;2026-10-04T01:02:33.802Z\&quot;,\&quot;updatedAt\&quot;:\&quot;2026-10-04T01:02:33.802Z\&quot;},{\&quot;id\&quot;:\&quot;ann_mut4wuus_7uivo9\&quot;,\&quot;scope\&quot;:{\&quot;kind\&quot;:\&quot;cell\&quot;,\&quot;sheetId\&quot;:\&quot;{00000000-0001-0000-0100-000000000000}\&quot;,\&quot;sheetName\&quot;:\&quot;PV for Part 1\&quot;,\&quot;address\&quot;:\&quot;C10\&quot;},\&quot;formula\&quot;:\&quot;US_dollar/lamp\&quot;,\&quot;createdAt\&quot;:\&quot;2026-10-04T01:20:50.740Z\&quot;,\&quot;updatedAt\&quot;:\&quot;2026-10-04T01:20:50.740Z\&quot;},{\&quot;id\&quot;:\&quot;ann_mut4wyny_n1s9w8\&quot;,\&quot;scope\&quot;:{\&quot;kind\&quot;:\&quot;range\&quot;,\&quot;sheetId\&quot;:\&quot;{00000000-0001-0000-0100-000000000000}\&quot;,\&quot;sheetName\&quot;:\&quot;PV for Part 1\&quot;,\&quot;address\&quot;:\&quot;C13:C15\&quot;},\&quot;formula\&quot;:\&quot;US_dollar/lamp\&quot;,\&quot;createdAt\&quot;:\&quot;2026-10-04T01:20:55.678Z\&quot;,\&quot;updatedAt\&quot;:\&quot;2026-10-04T01:20:55.678Z\&quot;},{\&quot;id\&quot;:\&quot;ann_mut4y9tz_nhljr8\&quot;,\&quot;scope\&quot;:{\&quot;kind\&quot;:\&quot;range\&quot;,\&quot;sheetId\&quot;:\&quot;{00000000-0001-0000-0100-000000000000}\&quot;,\&quot;sheetName\&quot;:\&quot;PV for Part 1\&quot;,\&quot;address\&quot;:\&quot;C24:V27\&quot;},\&quot;formula\&quot;:\&quot;US_dollar/year\&quot;,\&quot;createdAt\&quot;:\&quot;2026-10-04T01:21:56.806Z\&quot;,\&quot;updatedAt\&quot;:\&quot;2026-10-04T01:21:56.806Z\&quot;}]&quot;"/>
    <we:property name="daubee.auditCounters" value="{&quot;firstActivityAt&quot;:&quot;2026-10-04T00:15:24.801Z&quot;,&quot;bySheetId&quot;:{&quot;{00000000-0001-0000-0100-000000000000}&quot;:{&quot;sheetName&quot;:&quot;PV for Part 1&quot;,&quot;manualAnnotations&quot;:21,&quot;inferredAnnotations&quot;:0,&quot;checkedAnnotations&quot;:0,&quot;errorsDetected&quot;:251,&quot;unverifiableDetected&quot;:3}}}"/>
    <we:property name="daubee.errorAnnotations" value="&quot;[{\&quot;sheetId\&quot;:\&quot;{00000000-0001-0000-0100-000000000000}\&quot;,\&quot;address\&quot;:\&quot;C24\&quot;,\&quot;reason\&quot;:\&quot;equality\&quot;,\&quot;expected\&quot;:\&quot;US_dollar/year\&quot;,\&quot;got\&quot;:\&quot;US_dollar-hour-kW/kWh\&quot;,\&quot;sources\&quot;:[],\&quot;updatedAt\&quot;:\&quot;2026-10-04T01:22:10.451Z\&quot;},{\&quot;sheetId\&quot;:\&quot;{00000000-0001-0000-0100-000000000000}\&quot;,\&quot;address\&quot;:\&quot;D24\&quot;,\&quot;reason\&quot;:\&quot;equality\&quot;,\&quot;expected\&quot;:\&quot;US_dollar/year\&quot;,\&quot;got\&quot;:null,\&quot;sources\&quot;:[\&quot;C24\&quot;],\&quot;updatedAt\&quot;:\&quot;2026-10-04T01:22:10.451Z\&quot;},{\&quot;sheetId\&quot;:\&quot;{00000000-0001-0000-0100-000000000000}\&quot;,\&quot;address\&quot;:\&quot;E24\&quot;,\&quot;reason\&quot;:\&quot;equality\&quot;,\&quot;expected\&quot;:\&quot;US_dollar/year\&quot;,\&quot;got\&quot;:null,\&quot;sources\&quot;:[\&quot;D24\&quot;],\&quot;updatedAt\&quot;:\&quot;2026-10-04T01:22:10.451Z\&quot;},{\&quot;sheetId\&quot;:\&quot;{00000000-0001-0000-0100-000000000000}\&quot;,\&quot;address\&quot;:\&quot;F24\&quot;,\&quot;reason\&quot;:\&quot;equality\&quot;,\&quot;expected\&quot;:\&quot;US_dollar/year\&quot;,\&quot;got\&quot;:null,\&quot;sources\&quot;:[\&quot;E24\&quot;],\&quot;updatedAt\&quot;:\&quot;2026-10-04T01:22:10.451Z\&quot;},{\&quot;sheetId\&quot;:\&quot;{00000000-0001-0000-0100-000000000000}\&quot;,\&quot;address\&quot;:\&quot;G24\&quot;,\&quot;reason\&quot;:\&quot;equality\&quot;,\&quot;expected\&quot;:\&quot;US_dollar/year\&quot;,\&quot;got\&quot;:null,\&quot;sources\&quot;:[\&quot;F24\&quot;],\&quot;updatedAt\&quot;:\&quot;2026-10-04T01:22:10.451Z\&quot;},{\&quot;sheetId\&quot;:\&quot;{00000000-0001-0000-0100-000000000000}\&quot;,\&quot;address\&quot;:\&quot;H24\&quot;,\&quot;reason\&quot;:\&quot;equality\&quot;,\&quot;expected\&quot;:\&quot;US_dollar/year\&quot;,\&quot;got\&quot;:null,\&quot;sources\&quot;:[\&quot;G24\&quot;],\&quot;updatedAt\&quot;:\&quot;2026-10-04T01:22:10.451Z\&quot;},{\&quot;sheetId\&quot;:\&quot;{00000000-0001-0000-0100-000000000000}\&quot;,\&quot;address\&quot;:\&quot;I24\&quot;,\&quot;reason\&quot;:\&quot;equality\&quot;,\&quot;expected\&quot;:\&quot;US_dollar/year\&quot;,\&quot;got\&quot;:null,\&quot;sources\&quot;:[\&quot;H24\&quot;],\&quot;updatedAt\&quot;:\&quot;2026-10-04T01:22:10.451Z\&quot;},{\&quot;sheetId\&quot;:\&quot;{00000000-0001-0000-0100-000000000000}\&quot;,\&quot;address\&quot;:\&quot;J24\&quot;,\&quot;reason\&quot;:\&quot;equality\&quot;,\&quot;expected\&quot;:\&quot;US_dollar/year\&quot;,\&quot;got\&quot;:null,\&quot;sources\&quot;:[\&quot;I24\&quot;],\&quot;updatedAt\&quot;:\&quot;2026-10-04T01:22:10.451Z\&quot;},{\&quot;sheetId\&quot;:\&quot;{00000000-0001-0000-0100-000000000000}\&quot;,\&quot;address\&quot;:\&quot;K24\&quot;,\&quot;reason\&quot;:\&quot;equality\&quot;,\&quot;expected\&quot;:\&quot;US_dollar/year\&quot;,\&quot;got\&quot;:null,\&quot;sources\&quot;:[\&quot;J24\&quot;],\&quot;updatedAt\&quot;:\&quot;2026-10-04T01:22:10.451Z\&quot;},{\&quot;sheetId\&quot;:\&quot;{00000000-0001-0000-0100-000000000000}\&quot;,\&quot;address\&quot;:\&quot;L24\&quot;,\&quot;reason\&quot;:\&quot;equality\&quot;,\&quot;expected\&quot;:\&quot;US_dollar/year\&quot;,\&quot;got\&quot;:null,\&quot;sources\&quot;:[\&quot;K24\&quot;],\&quot;updatedAt\&quot;:\&quot;2026-10-04T01:22:10.451Z\&quot;},{\&quot;sheetId\&quot;:\&quot;{00000000-0001-0000-0100-000000000000}\&quot;,\&quot;address\&quot;:\&quot;M24\&quot;,\&quot;reason\&quot;:\&quot;equality\&quot;,\&quot;expected\&quot;:\&quot;US_dollar/year\&quot;,\&quot;got\&quot;:null,\&quot;sources\&quot;:[\&quot;L24\&quot;],\&quot;updatedAt\&quot;:\&quot;2026-10-04T01:22:10.451Z\&quot;},{\&quot;sheetId\&quot;:\&quot;{00000000-0001-0000-0100-000000000000}\&quot;,\&quot;address\&quot;:\&quot;N24\&quot;,\&quot;reason\&quot;:\&quot;equality\&quot;,\&quot;expected\&quot;:\&quot;US_dollar/year\&quot;,\&quot;got\&quot;:null,\&quot;sources\&quot;:[\&quot;M24\&quot;],\&quot;updatedAt\&quot;:\&quot;2026-10-04T01:22:10.451Z\&quot;},{\&quot;sheetId\&quot;:\&quot;{00000000-0001-0000-0100-000000000000}\&quot;,\&quot;address\&quot;:\&quot;O24\&quot;,\&quot;reason\&quot;:\&quot;equality\&quot;,\&quot;expected\&quot;:\&quot;US_dollar/year\&quot;,\&quot;got\&quot;:null,\&quot;sources\&quot;:[\&quot;N24\&quot;],\&quot;updatedAt\&quot;:\&quot;2026-10-04T01:22:10.451Z\&quot;},{\&quot;sheetId\&quot;:\&quot;{00000000-0001-0000-0100-000000000000}\&quot;,\&quot;address\&quot;:\&quot;P24\&quot;,\&quot;reason\&quot;:\&quot;equality\&quot;,\&quot;expected\&quot;:\&quot;US_dollar/year\&quot;,\&quot;got\&quot;:null,\&quot;sources\&quot;:[\&quot;O24\&quot;],\&quot;updatedAt\&quot;:\&quot;2026-10-04T01:22:10.451Z\&quot;},{\&quot;sheetId\&quot;:\&quot;{00000000-0001-0000-0100-000000000000}\&quot;,\&quot;address\&quot;:\&quot;Q24\&quot;,\&quot;reason\&quot;:\&quot;equality\&quot;,\&quot;expected\&quot;:\&quot;US_dollar/year\&quot;,\&quot;got\&quot;:null,\&quot;sources\&quot;:[\&quot;P24\&quot;],\&quot;updatedAt\&quot;:\&quot;2026-10-04T01:22:10.451Z\&quot;},{\&quot;sheetId\&quot;:\&quot;{00000000-0001-0000-0100-000000000000}\&quot;,\&quot;address\&quot;:\&quot;R24\&quot;,\&quot;reason\&quot;:\&quot;equality\&quot;,\&quot;expected\&quot;:\&quot;US_dollar/year\&quot;,\&quot;got\&quot;:null,\&quot;sources\&quot;:[\&quot;Q24\&quot;],\&quot;updatedAt\&quot;:\&quot;2026-10-04T01:22:10.451Z\&quot;},{\&quot;sheetId\&quot;:\&quot;{00000000-0001-0000-0100-000000000000}\&quot;,\&quot;address\&quot;:\&quot;S24\&quot;,\&quot;reason\&quot;:\&quot;equality\&quot;,\&quot;expected\&quot;:\&quot;US_dollar/year\&quot;,\&quot;got\&quot;:null,\&quot;sources\&quot;:[\&quot;R24\&quot;],\&quot;updatedAt\&quot;:\&quot;2026-10-04T01:22:10.452Z\&quot;},{\&quot;sheetId\&quot;:\&quot;{00000000-0001-0000-0100-000000000000}\&quot;,\&quot;address\&quot;:\&quot;T24\&quot;,\&quot;reason\&quot;:\&quot;equality\&quot;,\&quot;expected\&quot;:\&quot;US_dollar/year\&quot;,\&quot;got\&quot;:null,\&quot;sources\&quot;:[\&quot;S24\&quot;],\&quot;updatedAt\&quot;:\&quot;2026-10-04T01:22:10.452Z\&quot;},{\&quot;sheetId\&quot;:\&quot;{00000000-0001-0000-0100-000000000000}\&quot;,\&quot;address\&quot;:\&quot;U24\&quot;,\&quot;reason\&quot;:\&quot;equality\&quot;,\&quot;expected\&quot;:\&quot;US_dollar/year\&quot;,\&quot;got\&quot;:null,\&quot;sources\&quot;:[\&quot;T24\&quot;],\&quot;updatedAt\&quot;:\&quot;2026-10-04T01:22:10.452Z\&quot;},{\&quot;sheetId\&quot;:\&quot;{00000000-0001-0000-0100-000000000000}\&quot;,\&quot;address\&quot;:\&quot;V24\&quot;,\&quot;reason\&quot;:\&quot;equality\&quot;,\&quot;expected\&quot;:\&quot;US_dollar/year\&quot;,\&quot;got\&quot;:null,\&quot;sources\&quot;:[\&quot;U24\&quot;],\&quot;updatedAt\&quot;:\&quot;2026-10-04T01:22:10.452Z\&quot;},{\&quot;sheetId\&quot;:\&quot;{00000000-0001-0000-0100-000000000000}\&quot;,\&quot;address\&quot;:\&quot;C26\&quot;,\&quot;reason\&quot;:\&quot;equality\&quot;,\&quot;expected\&quot;:\&quot;US_dollar/year\&quot;,\&quot;got\&quot;:\&quot;US_dollar\&quot;,\&quot;sources\&quot;:[],\&quot;updatedAt\&quot;:\&quot;2026-10-04T01:22:10.453Z\&quot;},{\&quot;sheetId\&quot;:\&quot;{00000000-0001-0000-0100-000000000000}\&quot;,\&quot;address\&quot;:\&quot;D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E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F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G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H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I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J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K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L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M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N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O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P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Q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R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S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T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U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V26\&quot;,\&quot;reason\&quot;:\&quot;equality\&quot;,\&quot;expected\&quot;:\&quot;US_dollar/year\&quot;,\&quot;got\&quot;:null,\&quot;sources\&quot;:[\&quot;C26\&quot;],\&quot;updatedAt\&quot;:\&quot;2026-10-04T01:22:10.453Z\&quot;},{\&quot;sheetId\&quot;:\&quot;{00000000-0001-0000-0100-000000000000}\&quot;,\&quot;address\&quot;:\&quot;C27\&quot;,\&quot;reason\&quot;:\&quot;equality\&quot;,\&quot;expected\&quot;:\&quot;US_dollar/year\&quot;,\&quot;got\&quot;:null,\&quot;sources\&quot;:[\&quot;C24\&quot;,\&quot;C26\&quot;],\&quot;updatedAt\&quot;:\&quot;2026-10-04T01:22:10.453Z\&quot;},{\&quot;sheetId\&quot;:\&quot;{00000000-0001-0000-0100-000000000000}\&quot;,\&quot;address\&quot;:\&quot;D27\&quot;,\&quot;reason\&quot;:\&quot;equality\&quot;,\&quot;expected\&quot;:\&quot;US_dollar/year\&quot;,\&quot;got\&quot;:null,\&quot;sources\&quot;:[\&quot;D24\&quot;,\&quot;D26\&quot;],\&quot;updatedAt\&quot;:\&quot;2026-10-04T01:22:10.453Z\&quot;},{\&quot;sheetId\&quot;:\&quot;{00000000-0001-0000-0100-000000000000}\&quot;,\&quot;address\&quot;:\&quot;E27\&quot;,\&quot;reason\&quot;:\&quot;equality\&quot;,\&quot;expected\&quot;:\&quot;US_dollar/year\&quot;,\&quot;got\&quot;:null,\&quot;sources\&quot;:[\&quot;E24\&quot;,\&quot;E26\&quot;],\&quot;updatedAt\&quot;:\&quot;2026-10-04T01:22:10.453Z\&quot;},{\&quot;sheetId\&quot;:\&quot;{00000000-0001-0000-0100-000000000000}\&quot;,\&quot;address\&quot;:\&quot;F27\&quot;,\&quot;reason\&quot;:\&quot;equality\&quot;,\&quot;expected\&quot;:\&quot;US_dollar/year\&quot;,\&quot;got\&quot;:null,\&quot;sources\&quot;:[\&quot;F24\&quot;,\&quot;F26\&quot;],\&quot;updatedAt\&quot;:\&quot;2026-10-04T01:22:10.453Z\&quot;},{\&quot;sheetId\&quot;:\&quot;{00000000-0001-0000-0100-000000000000}\&quot;,\&quot;address\&quot;:\&quot;G27\&quot;,\&quot;reason\&quot;:\&quot;equality\&quot;,\&quot;expected\&quot;:\&quot;US_dollar/year\&quot;,\&quot;got\&quot;:null,\&quot;sources\&quot;:[\&quot;G24\&quot;,\&quot;G26\&quot;],\&quot;updatedAt\&quot;:\&quot;2026-10-04T01:22:10.453Z\&quot;},{\&quot;sheetId\&quot;:\&quot;{00000000-0001-0000-0100-000000000000}\&quot;,\&quot;address\&quot;:\&quot;H27\&quot;,\&quot;reason\&quot;:\&quot;equality\&quot;,\&quot;expected\&quot;:\&quot;US_dollar/year\&quot;,\&quot;got\&quot;:null,\&quot;sources\&quot;:[\&quot;H24\&quot;,\&quot;H26\&quot;],\&quot;updatedAt\&quot;:\&quot;2026-10-04T01:22:10.453Z\&quot;},{\&quot;sheetId\&quot;:\&quot;{00000000-0001-0000-0100-000000000000}\&quot;,\&quot;address\&quot;:\&quot;I27\&quot;,\&quot;reason\&quot;:\&quot;equality\&quot;,\&quot;expected\&quot;:\&quot;US_dollar/year\&quot;,\&quot;got\&quot;:null,\&quot;sources\&quot;:[\&quot;I24\&quot;,\&quot;I26\&quot;],\&quot;updatedAt\&quot;:\&quot;2026-10-04T01:22:10.453Z\&quot;},{\&quot;sheetId\&quot;:\&quot;{00000000-0001-0000-0100-000000000000}\&quot;,\&quot;address\&quot;:\&quot;J27\&quot;,\&quot;reason\&quot;:\&quot;equality\&quot;,\&quot;expected\&quot;:\&quot;US_dollar/year\&quot;,\&quot;got\&quot;:null,\&quot;sources\&quot;:[\&quot;J24\&quot;,\&quot;J26\&quot;],\&quot;updatedAt\&quot;:\&quot;2026-10-04T01:22:10.453Z\&quot;},{\&quot;sheetId\&quot;:\&quot;{00000000-0001-0000-0100-000000000000}\&quot;,\&quot;address\&quot;:\&quot;K27\&quot;,\&quot;reason\&quot;:\&quot;equality\&quot;,\&quot;expected\&quot;:\&quot;US_dollar/year\&quot;,\&quot;got\&quot;:null,\&quot;sources\&quot;:[\&quot;K24\&quot;,\&quot;K26\&quot;],\&quot;updatedAt\&quot;:\&quot;2026-10-04T01:22:10.453Z\&quot;},{\&quot;sheetId\&quot;:\&quot;{00000000-0001-0000-0100-000000000000}\&quot;,\&quot;address\&quot;:\&quot;L27\&quot;,\&quot;reason\&quot;:\&quot;equality\&quot;,\&quot;expected\&quot;:\&quot;US_dollar/year\&quot;,\&quot;got\&quot;:null,\&quot;sources\&quot;:[\&quot;L24\&quot;,\&quot;L26\&quot;],\&quot;updatedAt\&quot;:\&quot;2026-10-04T01:22:10.453Z\&quot;},{\&quot;sheetId\&quot;:\&quot;{00000000-0001-0000-0100-000000000000}\&quot;,\&quot;address\&quot;:\&quot;M27\&quot;,\&quot;reason\&quot;:\&quot;equality\&quot;,\&quot;expected\&quot;:\&quot;US_dollar/year\&quot;,\&quot;got\&quot;:null,\&quot;sources\&quot;:[\&quot;M24\&quot;,\&quot;M26\&quot;],\&quot;updatedAt\&quot;:\&quot;2026-10-04T01:22:10.453Z\&quot;},{\&quot;sheetId\&quot;:\&quot;{00000000-0001-0000-0100-000000000000}\&quot;,\&quot;address\&quot;:\&quot;N27\&quot;,\&quot;reason\&quot;:\&quot;equality\&quot;,\&quot;expected\&quot;:\&quot;US_dollar/year\&quot;,\&quot;got\&quot;:null,\&quot;sources\&quot;:[\&quot;N24\&quot;,\&quot;N26\&quot;],\&quot;updatedAt\&quot;:\&quot;2026-10-04T01:22:10.453Z\&quot;},{\&quot;sheetId\&quot;:\&quot;{00000000-0001-0000-0100-000000000000}\&quot;,\&quot;address\&quot;:\&quot;O27\&quot;,\&quot;reason\&quot;:\&quot;equality\&quot;,\&quot;expected\&quot;:\&quot;US_dollar/year\&quot;,\&quot;got\&quot;:null,\&quot;sources\&quot;:[\&quot;O24\&quot;,\&quot;O26\&quot;],\&quot;updatedAt\&quot;:\&quot;2026-10-04T01:22:10.453Z\&quot;},{\&quot;sheetId\&quot;:\&quot;{00000000-0001-0000-0100-000000000000}\&quot;,\&quot;address\&quot;:\&quot;P27\&quot;,\&quot;reason\&quot;:\&quot;equality\&quot;,\&quot;expected\&quot;:\&quot;US_dollar/year\&quot;,\&quot;got\&quot;:null,\&quot;sources\&quot;:[\&quot;P24\&quot;,\&quot;P26\&quot;],\&quot;updatedAt\&quot;:\&quot;2026-10-04T01:22:10.453Z\&quot;},{\&quot;sheetId\&quot;:\&quot;{00000000-0001-0000-0100-000000000000}\&quot;,\&quot;address\&quot;:\&quot;Q27\&quot;,\&quot;reason\&quot;:\&quot;equality\&quot;,\&quot;expected\&quot;:\&quot;US_dollar/year\&quot;,\&quot;got\&quot;:null,\&quot;sources\&quot;:[\&quot;Q24\&quot;,\&quot;Q26\&quot;],\&quot;updatedAt\&quot;:\&quot;2026-10-04T01:22:10.453Z\&quot;},{\&quot;sheetId\&quot;:\&quot;{00000000-0001-0000-0100-000000000000}\&quot;,\&quot;address\&quot;:\&quot;R27\&quot;,\&quot;reason\&quot;:\&quot;equality\&quot;,\&quot;expected\&quot;:\&quot;US_dollar/year\&quot;,\&quot;got\&quot;:null,\&quot;sources\&quot;:[\&quot;R24\&quot;,\&quot;R26\&quot;],\&quot;updatedAt\&quot;:\&quot;2026-10-04T01:22:10.453Z\&quot;},{\&quot;sheetId\&quot;:\&quot;{00000000-0001-0000-0100-000000000000}\&quot;,\&quot;address\&quot;:\&quot;S27\&quot;,\&quot;reason\&quot;:\&quot;equality\&quot;,\&quot;expected\&quot;:\&quot;US_dollar/year\&quot;,\&quot;got\&quot;:null,\&quot;sources\&quot;:[\&quot;S24\&quot;,\&quot;S26\&quot;],\&quot;updatedAt\&quot;:\&quot;2026-10-04T01:22:10.454Z\&quot;},{\&quot;sheetId\&quot;:\&quot;{00000000-0001-0000-0100-000000000000}\&quot;,\&quot;address\&quot;:\&quot;T27\&quot;,\&quot;reason\&quot;:\&quot;equality\&quot;,\&quot;expected\&quot;:\&quot;US_dollar/year\&quot;,\&quot;got\&quot;:null,\&quot;sources\&quot;:[\&quot;T24\&quot;,\&quot;T26\&quot;],\&quot;updatedAt\&quot;:\&quot;2026-10-04T01:22:10.454Z\&quot;},{\&quot;sheetId\&quot;:\&quot;{00000000-0001-0000-0100-000000000000}\&quot;,\&quot;address\&quot;:\&quot;U27\&quot;,\&quot;reason\&quot;:\&quot;equality\&quot;,\&quot;expected\&quot;:\&quot;US_dollar/year\&quot;,\&quot;got\&quot;:null,\&quot;sources\&quot;:[\&quot;U24\&quot;,\&quot;U26\&quot;],\&quot;updatedAt\&quot;:\&quot;2026-10-04T01:22:10.454Z\&quot;},{\&quot;sheetId\&quot;:\&quot;{00000000-0001-0000-0100-000000000000}\&quot;,\&quot;address\&quot;:\&quot;V27\&quot;,\&quot;reason\&quot;:\&quot;equality\&quot;,\&quot;expected\&quot;:\&quot;US_dollar/year\&quot;,\&quot;got\&quot;:null,\&quot;sources\&quot;:[\&quot;V24\&quot;,\&quot;V26\&quot;],\&quot;updatedAt\&quot;:\&quot;2026-10-04T01:22:10.454Z\&quot;},{\&quot;sheetId\&quot;:\&quot;{00000000-0001-0000-0100-000000000000}\&quot;,\&quot;address\&quot;:\&quot;C28\&quot;,\&quot;reason\&quot;:\&quot;equality\&quot;,\&quot;expected\&quot;:\&quot;US_dollar/year\&quot;,\&quot;got\&quot;:\&quot;US_dollar-hour-kW/kWh\&quot;,\&quot;sources\&quot;:[\&quot;C27\&quot;],\&quot;updatedAt\&quot;:\&quot;2026-10-04T01:22:10.454Z\&quot;},{\&quot;sheetId\&quot;:\&quot;{00000000-0001-0000-0100-000000000000}\&quot;,\&quot;address\&quot;:\&quot;D28\&quot;,\&quot;reason\&quot;:\&quot;equality\&quot;,\&quot;expected\&quot;:\&quot;US_dollar/year\&quot;,\&quot;got\&quot;:\&quot;US_dollar-hour-kW/kWh\&quot;,\&quot;sources\&quot;:[\&quot;C28\&quot;,\&quot;D27\&quot;],\&quot;updatedAt\&quot;:\&quot;2026-10-04T01:22:10.454Z\&quot;},{\&quot;sheetId\&quot;:\&quot;{00000000-0001-0000-0100-000000000000}\&quot;,\&quot;address\&quot;:\&quot;E28\&quot;,\&quot;reason\&quot;:\&quot;equality\&quot;,\&quot;expected\&quot;:\&quot;US_dollar/year\&quot;,\&quot;got\&quot;:\&quot;US_dollar-hour-kW/kWh\&quot;,\&quot;sources\&quot;:[\&quot;D28\&quot;,\&quot;E27\&quot;],\&quot;updatedAt\&quot;:\&quot;2026-10-04T01:22:10.454Z\&quot;},{\&quot;sheetId\&quot;:\&quot;{00000000-0001-0000-0100-000000000000}\&quot;,\&quot;address\&quot;:\&quot;F28\&quot;,\&quot;reason\&quot;:\&quot;equality\&quot;,\&quot;expected\&quot;:\&quot;US_dollar/year\&quot;,\&quot;got\&quot;:\&quot;US_dollar-hour-kW/kWh\&quot;,\&quot;sources\&quot;:[\&quot;E28\&quot;,\&quot;F27\&quot;],\&quot;updatedAt\&quot;:\&quot;2026-10-04T01:22:10.454Z\&quot;},{\&quot;sheetId\&quot;:\&quot;{00000000-0001-0000-0100-000000000000}\&quot;,\&quot;address\&quot;:\&quot;G28\&quot;,\&quot;reason\&quot;:\&quot;equality\&quot;,\&quot;expected\&quot;:\&quot;US_dollar/year\&quot;,\&quot;got\&quot;:\&quot;US_dollar-hour-kW/kWh\&quot;,\&quot;sources\&quot;:[\&quot;F28\&quot;,\&quot;G27\&quot;],\&quot;updatedAt\&quot;:\&quot;2026-10-04T01:22:10.454Z\&quot;},{\&quot;sheetId\&quot;:\&quot;{00000000-0001-0000-0100-000000000000}\&quot;,\&quot;address\&quot;:\&quot;H28\&quot;,\&quot;reason\&quot;:\&quot;equality\&quot;,\&quot;expected\&quot;:\&quot;US_dollar/year\&quot;,\&quot;got\&quot;:\&quot;US_dollar-hour-kW/kWh\&quot;,\&quot;sources\&quot;:[\&quot;G28\&quot;,\&quot;H27\&quot;],\&quot;updatedAt\&quot;:\&quot;2026-10-04T01:22:10.454Z\&quot;},{\&quot;sheetId\&quot;:\&quot;{00000000-0001-0000-0100-000000000000}\&quot;,\&quot;address\&quot;:\&quot;I28\&quot;,\&quot;reason\&quot;:\&quot;equality\&quot;,\&quot;expected\&quot;:\&quot;US_dollar/year\&quot;,\&quot;got\&quot;:\&quot;US_dollar-hour-kW/kWh\&quot;,\&quot;sources\&quot;:[\&quot;H28\&quot;,\&quot;I27\&quot;],\&quot;updatedAt\&quot;:\&quot;2026-10-04T01:22:10.454Z\&quot;},{\&quot;sheetId\&quot;:\&quot;{00000000-0001-0000-0100-000000000000}\&quot;,\&quot;address\&quot;:\&quot;J28\&quot;,\&quot;reason\&quot;:\&quot;equality\&quot;,\&quot;expected\&quot;:\&quot;US_dollar/year\&quot;,\&quot;got\&quot;:\&quot;US_dollar-hour-kW/kWh\&quot;,\&quot;sources\&quot;:[\&quot;I28\&quot;,\&quot;J27\&quot;],\&quot;updatedAt\&quot;:\&quot;2026-10-04T01:22:10.454Z\&quot;},{\&quot;sheetId\&quot;:\&quot;{00000000-0001-0000-0100-000000000000}\&quot;,\&quot;address\&quot;:\&quot;K28\&quot;,\&quot;reason\&quot;:\&quot;equality\&quot;,\&quot;expected\&quot;:\&quot;US_dollar/year\&quot;,\&quot;got\&quot;:\&quot;US_dollar-hour-kW/kWh\&quot;,\&quot;sources\&quot;:[\&quot;J28\&quot;,\&quot;K27\&quot;],\&quot;updatedAt\&quot;:\&quot;2026-10-04T01:22:10.454Z\&quot;},{\&quot;sheetId\&quot;:\&quot;{00000000-0001-0000-0100-000000000000}\&quot;,\&quot;address\&quot;:\&quot;L28\&quot;,\&quot;reason\&quot;:\&quot;equality\&quot;,\&quot;expected\&quot;:\&quot;US_dollar/year\&quot;,\&quot;got\&quot;:\&quot;US_dollar-hour-kW/kWh\&quot;,\&quot;sources\&quot;:[\&quot;K28\&quot;,\&quot;L27\&quot;],\&quot;updatedAt\&quot;:\&quot;2026-10-04T01:22:10.454Z\&quot;},{\&quot;sheetId\&quot;:\&quot;{00000000-0001-0000-0100-000000000000}\&quot;,\&quot;address\&quot;:\&quot;M28\&quot;,\&quot;reason\&quot;:\&quot;equality\&quot;,\&quot;expected\&quot;:\&quot;US_dollar/year\&quot;,\&quot;got\&quot;:\&quot;US_dollar-hour-kW/kWh\&quot;,\&quot;sources\&quot;:[\&quot;L28\&quot;,\&quot;M27\&quot;],\&quot;updatedAt\&quot;:\&quot;2026-10-04T01:22:10.454Z\&quot;},{\&quot;sheetId\&quot;:\&quot;{00000000-0001-0000-0100-000000000000}\&quot;,\&quot;address\&quot;:\&quot;N28\&quot;,\&quot;reason\&quot;:\&quot;equality\&quot;,\&quot;expected\&quot;:\&quot;US_dollar/year\&quot;,\&quot;got\&quot;:\&quot;US_dollar-hour-kW/kWh\&quot;,\&quot;sources\&quot;:[\&quot;M28\&quot;,\&quot;N27\&quot;],\&quot;updatedAt\&quot;:\&quot;2026-10-04T01:22:10.454Z\&quot;},{\&quot;sheetId\&quot;:\&quot;{00000000-0001-0000-0100-000000000000}\&quot;,\&quot;address\&quot;:\&quot;O28\&quot;,\&quot;reason\&quot;:\&quot;equality\&quot;,\&quot;expected\&quot;:\&quot;US_dollar/year\&quot;,\&quot;got\&quot;:\&quot;US_dollar-hour-kW/kWh\&quot;,\&quot;sources\&quot;:[\&quot;N28\&quot;,\&quot;O27\&quot;],\&quot;updatedAt\&quot;:\&quot;2026-10-04T01:22:10.454Z\&quot;},{\&quot;sheetId\&quot;:\&quot;{00000000-0001-0000-0100-000000000000}\&quot;,\&quot;address\&quot;:\&quot;P28\&quot;,\&quot;reason\&quot;:\&quot;equality\&quot;,\&quot;expected\&quot;:\&quot;US_dollar/year\&quot;,\&quot;got\&quot;:\&quot;US_dollar-hour-kW/kWh\&quot;,\&quot;sources\&quot;:[\&quot;O28\&quot;,\&quot;P27\&quot;],\&quot;updatedAt\&quot;:\&quot;2026-10-04T01:22:10.454Z\&quot;},{\&quot;sheetId\&quot;:\&quot;{00000000-0001-0000-0100-000000000000}\&quot;,\&quot;address\&quot;:\&quot;Q28\&quot;,\&quot;reason\&quot;:\&quot;equality\&quot;,\&quot;expected\&quot;:\&quot;US_dollar/year\&quot;,\&quot;got\&quot;:\&quot;US_dollar-hour-kW/kWh\&quot;,\&quot;sources\&quot;:[\&quot;P28\&quot;,\&quot;Q27\&quot;],\&quot;updatedAt\&quot;:\&quot;2026-10-04T01:22:10.454Z\&quot;},{\&quot;sheetId\&quot;:\&quot;{00000000-0001-0000-0100-000000000000}\&quot;,\&quot;address\&quot;:\&quot;R28\&quot;,\&quot;reason\&quot;:\&quot;equality\&quot;,\&quot;expected\&quot;:\&quot;US_dollar/year\&quot;,\&quot;got\&quot;:\&quot;US_dollar-hour-kW/kWh\&quot;,\&quot;sources\&quot;:[\&quot;Q28\&quot;,\&quot;R27\&quot;],\&quot;updatedAt\&quot;:\&quot;2026-10-04T01:22:10.454Z\&quot;},{\&quot;sheetId\&quot;:\&quot;{00000000-0001-0000-0100-000000000000}\&quot;,\&quot;address\&quot;:\&quot;S28\&quot;,\&quot;reason\&quot;:\&quot;equality\&quot;,\&quot;expected\&quot;:\&quot;US_dollar/year\&quot;,\&quot;got\&quot;:\&quot;US_dollar-hour-kW/kWh\&quot;,\&quot;sources\&quot;:[\&quot;R28\&quot;,\&quot;S27\&quot;],\&quot;updatedAt\&quot;:\&quot;2026-10-04T01:22:10.454Z\&quot;},{\&quot;sheetId\&quot;:\&quot;{00000000-0001-0000-0100-000000000000}\&quot;,\&quot;address\&quot;:\&quot;T28\&quot;,\&quot;reason\&quot;:\&quot;equality\&quot;,\&quot;expected\&quot;:\&quot;US_dollar/year\&quot;,\&quot;got\&quot;:\&quot;US_dollar-hour-kW/kWh\&quot;,\&quot;sources\&quot;:[\&quot;S28\&quot;,\&quot;T27\&quot;],\&quot;updatedAt\&quot;:\&quot;2026-10-04T01:22:10.454Z\&quot;},{\&quot;sheetId\&quot;:\&quot;{00000000-0001-0000-0100-000000000000}\&quot;,\&quot;address\&quot;:\&quot;U28\&quot;,\&quot;reason\&quot;:\&quot;equality\&quot;,\&quot;expected\&quot;:\&quot;US_dollar/year\&quot;,\&quot;got\&quot;:\&quot;US_dollar-hour-kW/kWh\&quot;,\&quot;sources\&quot;:[\&quot;T28\&quot;,\&quot;U27\&quot;],\&quot;updatedAt\&quot;:\&quot;2026-10-04T01:22:10.454Z\&quot;},{\&quot;sheetId\&quot;:\&quot;{00000000-0001-0000-0100-000000000000}\&quot;,\&quot;address\&quot;:\&quot;V28\&quot;,\&quot;reason\&quot;:\&quot;equality\&quot;,\&quot;expected\&quot;:\&quot;US_dollar/year\&quot;,\&quot;got\&quot;:\&quot;US_dollar-hour-kW/kWh\&quot;,\&quot;sources\&quot;:[\&quot;U28\&quot;,\&quot;V27\&quot;],\&quot;updatedAt\&quot;:\&quot;2026-10-04T01:22:10.454Z\&quot;},{\&quot;sheetId\&quot;:\&quot;{00000000-0001-0000-0100-000000000000}\&quot;,\&quot;address\&quot;:\&quot;C29\&quot;,\&quot;reason\&quot;:\&quot;equality\&quot;,\&quot;expected\&quot;:\&quot;US_dollar/year\&quot;,\&quot;got\&quot;:\&quot;US_dollar-hour-kW/kWh\&quot;,\&quot;sources\&quot;:[\&quot;C27\&quot;,\&quot;D27\&quot;,\&quot;E27\&quot;,\&quot;F27\&quot;,\&quot;G27\&quot;,\&quot;H27\&quot;,\&quot;I27\&quot;,\&quot;J27\&quot;,\&quot;K27\&quot;,\&quot;L27\&quot;,\&quot;M27\&quot;,\&quot;N27\&quot;,\&quot;O27\&quot;,\&quot;P27\&quot;,\&quot;Q27\&quot;,\&quot;R27\&quot;,\&quot;S27\&quot;,\&quot;T27\&quot;,\&quot;U27\&quot;,\&quot;V27\&quot;],\&quot;updatedAt\&quot;:\&quot;2026-10-04T01:22:10.454Z\&quot;},{\&quot;sheetId\&quot;:\&quot;{00000000-0001-0000-0100-000000000000}\&quot;,\&quot;address\&quot;:\&quot;C30\&quot;,\&quot;reason\&quot;:\&quot;propagate\&quot;,\&quot;sources\&quot;:[\&quot;V28\&quot;],\&quot;updatedAt\&quot;:\&quot;2026-10-04T01:22:10.454Z\&quot;},{\&quot;sheetId\&quot;:\&quot;{00000000-0001-0000-0100-000000000000}\&quot;,\&quot;address\&quot;:\&quot;C31\&quot;,\&quot;reason\&quot;:\&quot;equality\&quot;,\&quot;expected\&quot;:\&quot;US_dollar/year\&quot;,\&quot;got\&quot;:\&quot;US_dollar-hour-kW/kWh\&quot;,\&quot;sources\&quot;:[\&quot;C27\&quot;,\&quot;D27\&quot;,\&quot;E27\&quot;,\&quot;F27\&quot;,\&quot;G27\&quot;,\&quot;H27\&quot;,\&quot;I27\&quot;,\&quot;J27\&quot;,\&quot;K27\&quot;,\&quot;L27\&quot;,\&quot;M27\&quot;,\&quot;N27\&quot;,\&quot;O27\&quot;,\&quot;P27\&quot;,\&quot;Q27\&quot;,\&quot;R27\&quot;,\&quot;S27\&quot;,\&quot;T27\&quot;,\&quot;U27\&quot;,\&quot;V27\&quot;],\&quot;updatedAt\&quot;:\&quot;2026-10-04T01:22:10.454Z\&quot;},{\&quot;sheetId\&quot;:\&quot;{00000000-0001-0000-0100-000000000000}\&quot;,\&quot;address\&quot;:\&quot;C32\&quot;,\&quot;reason\&quot;:\&quot;equality\&quot;,\&quot;expected\&quot;:\&quot;US_dollar/year\&quot;,\&quot;got\&quot;:\&quot;US_dollar-hour-kW/kWh\&quot;,\&quot;sources\&quot;:[\&quot;C27\&quot;,\&quot;D27\&quot;,\&quot;E27\&quot;,\&quot;F27\&quot;,\&quot;G27\&quot;,\&quot;H27\&quot;,\&quot;I27\&quot;,\&quot;J27\&quot;,\&quot;K27\&quot;,\&quot;L27\&quot;,\&quot;M27\&quot;,\&quot;N27\&quot;,\&quot;O27\&quot;,\&quot;P27\&quot;,\&quot;Q27\&quot;,\&quot;R27\&quot;,\&quot;S27\&quot;,\&quot;T27\&quot;,\&quot;U27\&quot;,\&quot;V27\&quot;],\&quot;updatedAt\&quot;:\&quot;2026-10-04T01:22:10.454Z\&quot;}]&quot;"/>
    <we:property name="daubee.unitGroups" value="{&quot;disabledGroups&quot;:[],&quot;customDictionaries&quot;:[{&quot;kind&quot;:&quot;file&quot;,&quot;name&quot;:&quot;dict_custom.yml&quot;,&quot;contents&quot;:{&quot;generic&quot;:[{&quot;canonicalName&quot;:&quot;units&quot;,&quot;aliases&quot;:[&quot;unit&quot;,&quot;Unit&quot;,&quot;Units&quot;]}],&quot;electricity&quot;:[{&quot;canonicalName&quot;:&quot;cents&quot;,&quot;aliases&quot;:[]},{&quot;canonicalName&quot;:&quot;cents/kWh&quot;,&quot;aliases&quot;:[]},{&quot;canonicalName&quot;:&quot;USD/kWh&quot;,&quot;aliases&quot;:[]}],&quot;lamps&quot;:[{&quot;canonicalName&quot;:&quot;lamp&quot;,&quot;aliases&quot;:[&quot;lamps&quot;]}]},&quot;id&quot;:&quot;1791075695757-5bae7ot5t9k&quot;,&quot;enabled&quot;:true}]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17"/>
  <sheetViews>
    <sheetView showGridLines="0" tabSelected="1" zoomScaleNormal="100" workbookViewId="0">
      <selection activeCell="C24" sqref="C24"/>
    </sheetView>
  </sheetViews>
  <sheetFormatPr defaultColWidth="8.85546875" defaultRowHeight="57.6" customHeight="1" x14ac:dyDescent="0.25"/>
  <cols>
    <col min="1" max="1" width="6" style="3" customWidth="1"/>
    <col min="2" max="2" width="53.5703125" style="3" customWidth="1"/>
    <col min="3" max="3" width="12.42578125" style="3" customWidth="1"/>
    <col min="4" max="9" width="8.85546875" style="3"/>
    <col min="10" max="21" width="8.7109375" style="3" customWidth="1"/>
    <col min="22" max="16384" width="8.85546875" style="3"/>
  </cols>
  <sheetData>
    <row r="1" spans="1:8" s="12" customFormat="1" ht="21.6" customHeight="1" x14ac:dyDescent="0.35">
      <c r="A1" s="29" t="s">
        <v>33</v>
      </c>
      <c r="B1" s="29"/>
      <c r="C1" s="29"/>
      <c r="D1" s="29"/>
      <c r="E1" s="29"/>
      <c r="F1" s="29"/>
      <c r="G1" s="29"/>
      <c r="H1" s="29"/>
    </row>
    <row r="2" spans="1:8" s="13" customFormat="1" ht="20.45" customHeight="1" x14ac:dyDescent="0.25">
      <c r="A2" s="30" t="s">
        <v>34</v>
      </c>
      <c r="B2" s="30"/>
      <c r="C2" s="30"/>
      <c r="D2" s="30"/>
      <c r="E2" s="30"/>
      <c r="F2" s="30"/>
      <c r="G2" s="30"/>
      <c r="H2" s="30"/>
    </row>
    <row r="3" spans="1:8" s="12" customFormat="1" ht="33" customHeight="1" x14ac:dyDescent="0.35">
      <c r="A3" s="27" t="s">
        <v>36</v>
      </c>
      <c r="B3" s="27"/>
      <c r="C3" s="27"/>
      <c r="D3" s="27"/>
      <c r="E3" s="27"/>
      <c r="F3" s="27"/>
      <c r="G3" s="27"/>
      <c r="H3" s="27"/>
    </row>
    <row r="4" spans="1:8" ht="51.6" customHeight="1" x14ac:dyDescent="0.25">
      <c r="A4" s="28" t="s">
        <v>35</v>
      </c>
      <c r="B4" s="28"/>
      <c r="C4" s="28"/>
      <c r="D4" s="28"/>
      <c r="E4" s="28"/>
      <c r="F4" s="28"/>
      <c r="G4" s="28"/>
      <c r="H4" s="28"/>
    </row>
    <row r="5" spans="1:8" ht="14.45" customHeight="1" thickBot="1" x14ac:dyDescent="0.3">
      <c r="A5" s="14" t="s">
        <v>16</v>
      </c>
      <c r="B5" s="14" t="s">
        <v>15</v>
      </c>
      <c r="C5" s="16" t="s">
        <v>14</v>
      </c>
      <c r="D5" s="14" t="s">
        <v>1</v>
      </c>
      <c r="E5" s="1"/>
    </row>
    <row r="6" spans="1:8" ht="14.45" customHeight="1" thickTop="1" thickBot="1" x14ac:dyDescent="0.3">
      <c r="A6" s="3">
        <v>1</v>
      </c>
      <c r="B6" s="3" t="s">
        <v>19</v>
      </c>
      <c r="C6" s="19">
        <v>0.14000000000000001</v>
      </c>
      <c r="D6" s="3" t="s">
        <v>44</v>
      </c>
    </row>
    <row r="7" spans="1:8" ht="14.45" customHeight="1" thickTop="1" x14ac:dyDescent="0.25">
      <c r="A7" s="3">
        <v>2</v>
      </c>
      <c r="B7" s="3" t="s">
        <v>23</v>
      </c>
      <c r="C7" s="19">
        <v>8.3000000000000004E-2</v>
      </c>
      <c r="D7" s="3" t="s">
        <v>45</v>
      </c>
    </row>
    <row r="8" spans="1:8" ht="14.45" customHeight="1" thickBot="1" x14ac:dyDescent="0.3">
      <c r="A8" s="3">
        <v>3</v>
      </c>
      <c r="B8" s="3" t="s">
        <v>20</v>
      </c>
      <c r="C8" s="20">
        <v>3.0000000000000001E-3</v>
      </c>
      <c r="D8" s="3" t="s">
        <v>45</v>
      </c>
    </row>
    <row r="9" spans="1:8" ht="14.45" customHeight="1" thickTop="1" thickBot="1" x14ac:dyDescent="0.3">
      <c r="A9" s="3">
        <v>4</v>
      </c>
      <c r="B9" s="3" t="s">
        <v>2</v>
      </c>
      <c r="C9" s="18">
        <v>4250</v>
      </c>
      <c r="D9" s="3" t="s">
        <v>3</v>
      </c>
    </row>
    <row r="10" spans="1:8" ht="14.45" customHeight="1" thickTop="1" thickBot="1" x14ac:dyDescent="0.3">
      <c r="A10" s="3">
        <v>5</v>
      </c>
      <c r="B10" s="3" t="s">
        <v>29</v>
      </c>
      <c r="C10" s="26">
        <v>100</v>
      </c>
      <c r="D10" s="3" t="s">
        <v>40</v>
      </c>
    </row>
    <row r="11" spans="1:8" ht="14.45" customHeight="1" thickTop="1" thickBot="1" x14ac:dyDescent="0.3">
      <c r="A11" s="3">
        <v>6</v>
      </c>
      <c r="B11" s="3" t="s">
        <v>30</v>
      </c>
      <c r="C11" s="20">
        <v>4</v>
      </c>
      <c r="D11" s="3" t="s">
        <v>4</v>
      </c>
    </row>
    <row r="12" spans="1:8" ht="14.45" customHeight="1" thickTop="1" thickBot="1" x14ac:dyDescent="0.3">
      <c r="A12" s="3">
        <v>7</v>
      </c>
      <c r="B12" s="3" t="s">
        <v>38</v>
      </c>
      <c r="C12" s="15">
        <v>4</v>
      </c>
      <c r="D12" s="3" t="s">
        <v>46</v>
      </c>
    </row>
    <row r="13" spans="1:8" ht="14.45" customHeight="1" thickTop="1" x14ac:dyDescent="0.25">
      <c r="A13" s="3">
        <v>8</v>
      </c>
      <c r="B13" s="3" t="s">
        <v>31</v>
      </c>
      <c r="C13" s="23">
        <v>350</v>
      </c>
      <c r="D13" s="3" t="s">
        <v>5</v>
      </c>
    </row>
    <row r="14" spans="1:8" ht="14.45" customHeight="1" x14ac:dyDescent="0.25">
      <c r="A14" s="3">
        <v>9</v>
      </c>
      <c r="B14" s="3" t="s">
        <v>32</v>
      </c>
      <c r="C14" s="24">
        <v>120</v>
      </c>
      <c r="D14" s="3" t="s">
        <v>42</v>
      </c>
    </row>
    <row r="15" spans="1:8" ht="14.45" customHeight="1" thickBot="1" x14ac:dyDescent="0.3">
      <c r="A15" s="3">
        <v>10</v>
      </c>
      <c r="B15" s="3" t="s">
        <v>10</v>
      </c>
      <c r="C15" s="25">
        <v>50</v>
      </c>
      <c r="D15" s="3" t="s">
        <v>41</v>
      </c>
    </row>
    <row r="16" spans="1:8" ht="14.45" customHeight="1" thickTop="1" x14ac:dyDescent="0.25">
      <c r="A16" s="3">
        <v>11</v>
      </c>
      <c r="B16" s="3" t="s">
        <v>24</v>
      </c>
      <c r="C16" s="18">
        <v>100</v>
      </c>
      <c r="D16" s="3" t="s">
        <v>13</v>
      </c>
    </row>
    <row r="17" spans="1:22" ht="14.45" customHeight="1" thickBot="1" x14ac:dyDescent="0.3">
      <c r="A17" s="3">
        <v>12</v>
      </c>
      <c r="B17" s="3" t="s">
        <v>12</v>
      </c>
      <c r="C17" s="18">
        <v>100</v>
      </c>
      <c r="D17" s="3" t="s">
        <v>13</v>
      </c>
    </row>
    <row r="18" spans="1:22" ht="14.45" customHeight="1" thickTop="1" thickBot="1" x14ac:dyDescent="0.3">
      <c r="A18" s="3">
        <v>13</v>
      </c>
      <c r="B18" s="3" t="s">
        <v>37</v>
      </c>
      <c r="C18" s="17">
        <v>0</v>
      </c>
      <c r="D18" s="3" t="s">
        <v>11</v>
      </c>
    </row>
    <row r="19" spans="1:22" ht="14.45" customHeight="1" thickTop="1" x14ac:dyDescent="0.25">
      <c r="A19" s="3">
        <v>14</v>
      </c>
      <c r="B19" s="3" t="s">
        <v>28</v>
      </c>
      <c r="C19" s="15">
        <v>15</v>
      </c>
      <c r="D19" s="3" t="s">
        <v>17</v>
      </c>
    </row>
    <row r="20" spans="1:22" ht="14.45" customHeight="1" x14ac:dyDescent="0.25"/>
    <row r="21" spans="1:22" s="4" customFormat="1" ht="14.45" customHeight="1" x14ac:dyDescent="0.25">
      <c r="B21" s="5" t="s">
        <v>0</v>
      </c>
      <c r="C21" s="4">
        <v>1</v>
      </c>
      <c r="D21" s="4">
        <v>2</v>
      </c>
      <c r="E21" s="4">
        <v>3</v>
      </c>
      <c r="F21" s="4">
        <v>4</v>
      </c>
      <c r="G21" s="4">
        <v>5</v>
      </c>
      <c r="H21" s="4">
        <v>6</v>
      </c>
      <c r="I21" s="4">
        <v>7</v>
      </c>
      <c r="J21" s="4">
        <v>8</v>
      </c>
      <c r="K21" s="4">
        <v>9</v>
      </c>
      <c r="L21" s="4">
        <v>10</v>
      </c>
      <c r="M21" s="4">
        <v>11</v>
      </c>
      <c r="N21" s="4">
        <v>12</v>
      </c>
      <c r="O21" s="4">
        <v>13</v>
      </c>
      <c r="P21" s="4">
        <v>14</v>
      </c>
      <c r="Q21" s="4">
        <v>15</v>
      </c>
      <c r="R21" s="4">
        <v>16</v>
      </c>
      <c r="S21" s="4">
        <v>17</v>
      </c>
      <c r="T21" s="4">
        <v>18</v>
      </c>
      <c r="U21" s="4">
        <v>19</v>
      </c>
      <c r="V21" s="4">
        <v>20</v>
      </c>
    </row>
    <row r="22" spans="1:22" s="7" customFormat="1" ht="14.45" customHeight="1" x14ac:dyDescent="0.25">
      <c r="A22" s="6" t="s">
        <v>25</v>
      </c>
    </row>
    <row r="23" spans="1:22" s="7" customFormat="1" ht="14.45" customHeight="1" thickBot="1" x14ac:dyDescent="0.3"/>
    <row r="24" spans="1:22" s="7" customFormat="1" ht="14.45" customHeight="1" thickTop="1" thickBot="1" x14ac:dyDescent="0.3">
      <c r="A24" s="7">
        <v>20</v>
      </c>
      <c r="B24" s="7" t="s">
        <v>6</v>
      </c>
      <c r="C24" s="34">
        <f>C16*C6*C7*C9</f>
        <v>4938.5000000000009</v>
      </c>
      <c r="D24" s="34">
        <f>C$24</f>
        <v>4938.5000000000009</v>
      </c>
      <c r="E24" s="34">
        <f t="shared" ref="E24:V24" si="0">D$24</f>
        <v>4938.5000000000009</v>
      </c>
      <c r="F24" s="34">
        <f t="shared" si="0"/>
        <v>4938.5000000000009</v>
      </c>
      <c r="G24" s="34">
        <f t="shared" si="0"/>
        <v>4938.5000000000009</v>
      </c>
      <c r="H24" s="34">
        <f t="shared" si="0"/>
        <v>4938.5000000000009</v>
      </c>
      <c r="I24" s="34">
        <f t="shared" si="0"/>
        <v>4938.5000000000009</v>
      </c>
      <c r="J24" s="34">
        <f t="shared" si="0"/>
        <v>4938.5000000000009</v>
      </c>
      <c r="K24" s="34">
        <f t="shared" si="0"/>
        <v>4938.5000000000009</v>
      </c>
      <c r="L24" s="34">
        <f t="shared" si="0"/>
        <v>4938.5000000000009</v>
      </c>
      <c r="M24" s="34">
        <f t="shared" si="0"/>
        <v>4938.5000000000009</v>
      </c>
      <c r="N24" s="34">
        <f t="shared" si="0"/>
        <v>4938.5000000000009</v>
      </c>
      <c r="O24" s="34">
        <f t="shared" si="0"/>
        <v>4938.5000000000009</v>
      </c>
      <c r="P24" s="34">
        <f t="shared" si="0"/>
        <v>4938.5000000000009</v>
      </c>
      <c r="Q24" s="34">
        <f t="shared" si="0"/>
        <v>4938.5000000000009</v>
      </c>
      <c r="R24" s="34">
        <f t="shared" si="0"/>
        <v>4938.5000000000009</v>
      </c>
      <c r="S24" s="34">
        <f t="shared" si="0"/>
        <v>4938.5000000000009</v>
      </c>
      <c r="T24" s="34">
        <f t="shared" si="0"/>
        <v>4938.5000000000009</v>
      </c>
      <c r="U24" s="34">
        <f t="shared" si="0"/>
        <v>4938.5000000000009</v>
      </c>
      <c r="V24" s="35">
        <f t="shared" si="0"/>
        <v>4938.5000000000009</v>
      </c>
    </row>
    <row r="25" spans="1:22" s="7" customFormat="1" ht="14.45" customHeight="1" thickTop="1" thickBot="1" x14ac:dyDescent="0.3">
      <c r="A25" s="7">
        <v>21</v>
      </c>
      <c r="B25" s="7" t="s">
        <v>27</v>
      </c>
      <c r="C25" s="32">
        <f>C16*C10/C11</f>
        <v>2500</v>
      </c>
      <c r="D25" s="31">
        <f>$C25</f>
        <v>2500</v>
      </c>
      <c r="E25" s="31">
        <f t="shared" ref="E25:V26" si="1">$C25</f>
        <v>2500</v>
      </c>
      <c r="F25" s="31">
        <f t="shared" si="1"/>
        <v>2500</v>
      </c>
      <c r="G25" s="31">
        <f t="shared" si="1"/>
        <v>2500</v>
      </c>
      <c r="H25" s="31">
        <f t="shared" si="1"/>
        <v>2500</v>
      </c>
      <c r="I25" s="31">
        <f t="shared" si="1"/>
        <v>2500</v>
      </c>
      <c r="J25" s="31">
        <f t="shared" si="1"/>
        <v>2500</v>
      </c>
      <c r="K25" s="31">
        <f t="shared" si="1"/>
        <v>2500</v>
      </c>
      <c r="L25" s="31">
        <f t="shared" si="1"/>
        <v>2500</v>
      </c>
      <c r="M25" s="31">
        <f t="shared" si="1"/>
        <v>2500</v>
      </c>
      <c r="N25" s="31">
        <f t="shared" si="1"/>
        <v>2500</v>
      </c>
      <c r="O25" s="31">
        <f t="shared" si="1"/>
        <v>2500</v>
      </c>
      <c r="P25" s="31">
        <f t="shared" si="1"/>
        <v>2500</v>
      </c>
      <c r="Q25" s="31">
        <f t="shared" si="1"/>
        <v>2500</v>
      </c>
      <c r="R25" s="31">
        <f t="shared" si="1"/>
        <v>2500</v>
      </c>
      <c r="S25" s="31">
        <f t="shared" si="1"/>
        <v>2500</v>
      </c>
      <c r="T25" s="31">
        <f t="shared" si="1"/>
        <v>2500</v>
      </c>
      <c r="U25" s="31">
        <f t="shared" si="1"/>
        <v>2500</v>
      </c>
      <c r="V25" s="33">
        <f t="shared" si="1"/>
        <v>2500</v>
      </c>
    </row>
    <row r="26" spans="1:22" s="8" customFormat="1" ht="14.45" customHeight="1" thickTop="1" thickBot="1" x14ac:dyDescent="0.3">
      <c r="A26" s="8">
        <v>22</v>
      </c>
      <c r="B26" s="8" t="s">
        <v>39</v>
      </c>
      <c r="C26" s="36">
        <f>C16*(C13+C14)*(C12/100)</f>
        <v>1880</v>
      </c>
      <c r="D26" s="36">
        <f>$C26</f>
        <v>1880</v>
      </c>
      <c r="E26" s="36">
        <f t="shared" si="1"/>
        <v>1880</v>
      </c>
      <c r="F26" s="36">
        <f t="shared" si="1"/>
        <v>1880</v>
      </c>
      <c r="G26" s="36">
        <f t="shared" si="1"/>
        <v>1880</v>
      </c>
      <c r="H26" s="36">
        <f t="shared" si="1"/>
        <v>1880</v>
      </c>
      <c r="I26" s="36">
        <f t="shared" si="1"/>
        <v>1880</v>
      </c>
      <c r="J26" s="36">
        <f t="shared" si="1"/>
        <v>1880</v>
      </c>
      <c r="K26" s="36">
        <f t="shared" si="1"/>
        <v>1880</v>
      </c>
      <c r="L26" s="36">
        <f t="shared" si="1"/>
        <v>1880</v>
      </c>
      <c r="M26" s="36">
        <f t="shared" si="1"/>
        <v>1880</v>
      </c>
      <c r="N26" s="36">
        <f t="shared" si="1"/>
        <v>1880</v>
      </c>
      <c r="O26" s="36">
        <f t="shared" si="1"/>
        <v>1880</v>
      </c>
      <c r="P26" s="36">
        <f t="shared" si="1"/>
        <v>1880</v>
      </c>
      <c r="Q26" s="36">
        <f t="shared" si="1"/>
        <v>1880</v>
      </c>
      <c r="R26" s="36">
        <f t="shared" si="1"/>
        <v>1880</v>
      </c>
      <c r="S26" s="36">
        <f t="shared" si="1"/>
        <v>1880</v>
      </c>
      <c r="T26" s="36">
        <f t="shared" si="1"/>
        <v>1880</v>
      </c>
      <c r="U26" s="36">
        <f t="shared" si="1"/>
        <v>1880</v>
      </c>
      <c r="V26" s="37">
        <f t="shared" si="1"/>
        <v>1880</v>
      </c>
    </row>
    <row r="27" spans="1:22" s="7" customFormat="1" ht="14.45" customHeight="1" thickTop="1" thickBot="1" x14ac:dyDescent="0.3">
      <c r="B27" s="7" t="s">
        <v>7</v>
      </c>
      <c r="C27" s="36">
        <f>SUM(C24:C26)</f>
        <v>9318.5</v>
      </c>
      <c r="D27" s="36">
        <f>SUM(D24:D26)</f>
        <v>9318.5</v>
      </c>
      <c r="E27" s="36">
        <f t="shared" ref="E27:V27" si="2">SUM(E24:E26)</f>
        <v>9318.5</v>
      </c>
      <c r="F27" s="36">
        <f t="shared" si="2"/>
        <v>9318.5</v>
      </c>
      <c r="G27" s="36">
        <f t="shared" si="2"/>
        <v>9318.5</v>
      </c>
      <c r="H27" s="36">
        <f t="shared" si="2"/>
        <v>9318.5</v>
      </c>
      <c r="I27" s="36">
        <f t="shared" si="2"/>
        <v>9318.5</v>
      </c>
      <c r="J27" s="36">
        <f t="shared" si="2"/>
        <v>9318.5</v>
      </c>
      <c r="K27" s="36">
        <f t="shared" si="2"/>
        <v>9318.5</v>
      </c>
      <c r="L27" s="36">
        <f t="shared" si="2"/>
        <v>9318.5</v>
      </c>
      <c r="M27" s="36">
        <f t="shared" si="2"/>
        <v>9318.5</v>
      </c>
      <c r="N27" s="36">
        <f t="shared" si="2"/>
        <v>9318.5</v>
      </c>
      <c r="O27" s="36">
        <f t="shared" si="2"/>
        <v>9318.5</v>
      </c>
      <c r="P27" s="36">
        <f t="shared" si="2"/>
        <v>9318.5</v>
      </c>
      <c r="Q27" s="36">
        <f t="shared" si="2"/>
        <v>9318.5</v>
      </c>
      <c r="R27" s="36">
        <f t="shared" si="2"/>
        <v>9318.5</v>
      </c>
      <c r="S27" s="36">
        <f t="shared" si="2"/>
        <v>9318.5</v>
      </c>
      <c r="T27" s="36">
        <f t="shared" si="2"/>
        <v>9318.5</v>
      </c>
      <c r="U27" s="36">
        <f t="shared" si="2"/>
        <v>9318.5</v>
      </c>
      <c r="V27" s="37">
        <f t="shared" si="2"/>
        <v>9318.5</v>
      </c>
    </row>
    <row r="28" spans="1:22" s="8" customFormat="1" ht="14.45" customHeight="1" thickTop="1" thickBot="1" x14ac:dyDescent="0.3">
      <c r="B28" s="8" t="s">
        <v>8</v>
      </c>
      <c r="C28" s="36">
        <f>C27</f>
        <v>9318.5</v>
      </c>
      <c r="D28" s="34">
        <f>C28+D27</f>
        <v>18637</v>
      </c>
      <c r="E28" s="34">
        <f t="shared" ref="E28:V28" si="3">D28+E27</f>
        <v>27955.5</v>
      </c>
      <c r="F28" s="34">
        <f t="shared" si="3"/>
        <v>37274</v>
      </c>
      <c r="G28" s="34">
        <f t="shared" si="3"/>
        <v>46592.5</v>
      </c>
      <c r="H28" s="34">
        <f t="shared" si="3"/>
        <v>55911</v>
      </c>
      <c r="I28" s="34">
        <f t="shared" si="3"/>
        <v>65229.5</v>
      </c>
      <c r="J28" s="34">
        <f t="shared" si="3"/>
        <v>74548</v>
      </c>
      <c r="K28" s="34">
        <f t="shared" si="3"/>
        <v>83866.5</v>
      </c>
      <c r="L28" s="34">
        <f t="shared" si="3"/>
        <v>93185</v>
      </c>
      <c r="M28" s="34">
        <f t="shared" si="3"/>
        <v>102503.5</v>
      </c>
      <c r="N28" s="34">
        <f t="shared" si="3"/>
        <v>111822</v>
      </c>
      <c r="O28" s="34">
        <f t="shared" si="3"/>
        <v>121140.5</v>
      </c>
      <c r="P28" s="34">
        <f t="shared" si="3"/>
        <v>130459</v>
      </c>
      <c r="Q28" s="34">
        <f t="shared" si="3"/>
        <v>139777.5</v>
      </c>
      <c r="R28" s="34">
        <f t="shared" si="3"/>
        <v>149096</v>
      </c>
      <c r="S28" s="34">
        <f t="shared" si="3"/>
        <v>158414.5</v>
      </c>
      <c r="T28" s="34">
        <f t="shared" si="3"/>
        <v>167733</v>
      </c>
      <c r="U28" s="34">
        <f t="shared" si="3"/>
        <v>177051.5</v>
      </c>
      <c r="V28" s="35">
        <f t="shared" si="3"/>
        <v>186370</v>
      </c>
    </row>
    <row r="29" spans="1:22" s="7" customFormat="1" ht="14.45" customHeight="1" thickTop="1" thickBot="1" x14ac:dyDescent="0.3">
      <c r="B29" s="9" t="s">
        <v>26</v>
      </c>
      <c r="C29" s="38">
        <f>NPV(0.06,C27:V27)</f>
        <v>106882.46087520033</v>
      </c>
      <c r="D29" s="10" t="s">
        <v>9</v>
      </c>
    </row>
    <row r="30" spans="1:22" s="7" customFormat="1" ht="14.45" customHeight="1" thickTop="1" thickBot="1" x14ac:dyDescent="0.3">
      <c r="B30" s="7" t="s">
        <v>18</v>
      </c>
      <c r="C30" s="39">
        <f>V28/20</f>
        <v>9318.5</v>
      </c>
      <c r="D30" s="11"/>
    </row>
    <row r="31" spans="1:22" s="7" customFormat="1" ht="14.45" customHeight="1" thickTop="1" thickBot="1" x14ac:dyDescent="0.3">
      <c r="B31" s="7" t="s">
        <v>21</v>
      </c>
      <c r="C31" s="37">
        <f>NPV(0.08,C27:V27)</f>
        <v>91490.406616316206</v>
      </c>
      <c r="D31" s="11"/>
    </row>
    <row r="32" spans="1:22" s="7" customFormat="1" ht="14.45" customHeight="1" thickTop="1" thickBot="1" x14ac:dyDescent="0.3">
      <c r="B32" s="7" t="s">
        <v>22</v>
      </c>
      <c r="C32" s="35">
        <f>NPV(0.04,C27:V27)</f>
        <v>126641.45604558138</v>
      </c>
      <c r="D32" s="11"/>
    </row>
    <row r="33" s="7" customFormat="1" ht="14.45" customHeight="1" thickTop="1" x14ac:dyDescent="0.25"/>
    <row r="34" s="7" customFormat="1" ht="14.45" customHeight="1" x14ac:dyDescent="0.25"/>
    <row r="35" s="7" customFormat="1" ht="14.45" customHeight="1" x14ac:dyDescent="0.25"/>
    <row r="36" s="7" customFormat="1" ht="14.45" customHeight="1" x14ac:dyDescent="0.25"/>
    <row r="37" s="7" customFormat="1" ht="14.45" customHeight="1" x14ac:dyDescent="0.25"/>
    <row r="38" s="7" customFormat="1" ht="14.45" customHeight="1" x14ac:dyDescent="0.25"/>
    <row r="39" s="7" customFormat="1" ht="14.45" customHeight="1" x14ac:dyDescent="0.25"/>
    <row r="40" s="7" customFormat="1" ht="14.45" customHeight="1" x14ac:dyDescent="0.25"/>
    <row r="41" s="7" customFormat="1" ht="14.45" customHeight="1" x14ac:dyDescent="0.25"/>
    <row r="42" s="7" customFormat="1" ht="14.45" customHeight="1" x14ac:dyDescent="0.25"/>
    <row r="43" s="7" customFormat="1" ht="14.45" customHeight="1" x14ac:dyDescent="0.25"/>
    <row r="44" s="7" customFormat="1" ht="14.45" customHeight="1" x14ac:dyDescent="0.25"/>
    <row r="45" s="7" customFormat="1" ht="14.45" customHeight="1" x14ac:dyDescent="0.25"/>
    <row r="46" s="7" customFormat="1" ht="14.45" customHeight="1" x14ac:dyDescent="0.25"/>
    <row r="47" s="7" customFormat="1" ht="14.45" customHeight="1" x14ac:dyDescent="0.25"/>
    <row r="48" s="7" customFormat="1" ht="14.45" customHeight="1" x14ac:dyDescent="0.25"/>
    <row r="49" s="2" customFormat="1" ht="14.45" customHeight="1" x14ac:dyDescent="0.25"/>
    <row r="50" s="2" customFormat="1" ht="14.45" customHeight="1" x14ac:dyDescent="0.25"/>
    <row r="51" s="2" customFormat="1" ht="14.45" customHeight="1" x14ac:dyDescent="0.25"/>
    <row r="52" s="2" customFormat="1" ht="14.45" customHeight="1" x14ac:dyDescent="0.25"/>
    <row r="53" s="2" customFormat="1" ht="14.45" customHeight="1" x14ac:dyDescent="0.25"/>
    <row r="54" s="2" customFormat="1" ht="14.45" customHeight="1" x14ac:dyDescent="0.25"/>
    <row r="55" s="2" customFormat="1" ht="14.45" customHeight="1" x14ac:dyDescent="0.25"/>
    <row r="56" s="2" customFormat="1" ht="14.45" customHeight="1" x14ac:dyDescent="0.25"/>
    <row r="57" s="2" customFormat="1" ht="14.45" customHeight="1" x14ac:dyDescent="0.25"/>
    <row r="58" s="2" customFormat="1" ht="14.45" customHeight="1" x14ac:dyDescent="0.25"/>
    <row r="59" s="2" customFormat="1" ht="14.45" customHeight="1" x14ac:dyDescent="0.25"/>
    <row r="60" s="2" customFormat="1" ht="14.45" customHeight="1" x14ac:dyDescent="0.25"/>
    <row r="61" s="2" customFormat="1" ht="14.45" customHeight="1" x14ac:dyDescent="0.25"/>
    <row r="62" s="2" customFormat="1" ht="14.45" customHeight="1" x14ac:dyDescent="0.25"/>
    <row r="63" s="2" customFormat="1" ht="14.45" customHeight="1" x14ac:dyDescent="0.25"/>
    <row r="64" s="2" customFormat="1" ht="14.45" customHeight="1" x14ac:dyDescent="0.25"/>
    <row r="65" s="2" customFormat="1" ht="14.45" customHeight="1" x14ac:dyDescent="0.25"/>
    <row r="66" s="2" customFormat="1" ht="14.45" customHeight="1" x14ac:dyDescent="0.25"/>
    <row r="67" s="2" customFormat="1" ht="14.45" customHeight="1" x14ac:dyDescent="0.25"/>
    <row r="68" s="2" customFormat="1" ht="14.45" customHeight="1" x14ac:dyDescent="0.25"/>
    <row r="69" s="2" customFormat="1" ht="14.45" customHeight="1" x14ac:dyDescent="0.25"/>
    <row r="70" s="2" customFormat="1" ht="14.45" customHeight="1" x14ac:dyDescent="0.25"/>
    <row r="71" s="2" customFormat="1" ht="14.45" customHeight="1" x14ac:dyDescent="0.25"/>
    <row r="72" s="2" customFormat="1" ht="14.45" customHeight="1" x14ac:dyDescent="0.25"/>
    <row r="73" s="2" customFormat="1" ht="14.45" customHeight="1" x14ac:dyDescent="0.25"/>
    <row r="74" s="2" customFormat="1" ht="14.45" customHeight="1" x14ac:dyDescent="0.25"/>
    <row r="75" s="2" customFormat="1" ht="14.45" customHeight="1" x14ac:dyDescent="0.25"/>
    <row r="76" s="2" customFormat="1" ht="14.45" customHeight="1" x14ac:dyDescent="0.25"/>
    <row r="77" s="2" customFormat="1" ht="14.45" customHeight="1" x14ac:dyDescent="0.25"/>
    <row r="78" s="2" customFormat="1" ht="14.45" customHeight="1" x14ac:dyDescent="0.25"/>
    <row r="79" s="2" customFormat="1" ht="14.45" customHeight="1" x14ac:dyDescent="0.25"/>
    <row r="80" s="2" customFormat="1" ht="14.45" customHeight="1" x14ac:dyDescent="0.25"/>
    <row r="81" s="2" customFormat="1" ht="14.45" customHeight="1" x14ac:dyDescent="0.25"/>
    <row r="82" s="2" customFormat="1" ht="14.45" customHeight="1" x14ac:dyDescent="0.25"/>
    <row r="83" s="2" customFormat="1" ht="14.45" customHeight="1" x14ac:dyDescent="0.25"/>
    <row r="84" s="2" customFormat="1" ht="14.45" customHeight="1" x14ac:dyDescent="0.25"/>
    <row r="85" s="2" customFormat="1" ht="14.45" customHeight="1" x14ac:dyDescent="0.25"/>
    <row r="86" s="2" customFormat="1" ht="14.45" customHeight="1" x14ac:dyDescent="0.25"/>
    <row r="87" s="2" customFormat="1" ht="14.45" customHeight="1" x14ac:dyDescent="0.25"/>
    <row r="88" s="2" customFormat="1" ht="14.45" customHeight="1" x14ac:dyDescent="0.25"/>
    <row r="89" s="2" customFormat="1" ht="14.45" customHeight="1" x14ac:dyDescent="0.25"/>
    <row r="90" s="2" customFormat="1" ht="14.45" customHeight="1" x14ac:dyDescent="0.25"/>
    <row r="91" s="2" customFormat="1" ht="14.45" customHeight="1" x14ac:dyDescent="0.25"/>
    <row r="92" s="2" customFormat="1" ht="14.45" customHeight="1" x14ac:dyDescent="0.25"/>
    <row r="93" s="2" customFormat="1" ht="14.45" customHeight="1" x14ac:dyDescent="0.25"/>
    <row r="94" s="2" customFormat="1" ht="14.45" customHeight="1" x14ac:dyDescent="0.25"/>
    <row r="95" s="2" customFormat="1" ht="14.45" customHeight="1" x14ac:dyDescent="0.25"/>
    <row r="96" s="2" customFormat="1" ht="57.6" customHeight="1" x14ac:dyDescent="0.25"/>
    <row r="97" s="2" customFormat="1" ht="57.6" customHeight="1" x14ac:dyDescent="0.25"/>
    <row r="98" s="2" customFormat="1" ht="57.6" customHeight="1" x14ac:dyDescent="0.25"/>
    <row r="99" s="2" customFormat="1" ht="57.6" customHeight="1" x14ac:dyDescent="0.25"/>
    <row r="100" s="2" customFormat="1" ht="57.6" customHeight="1" x14ac:dyDescent="0.25"/>
    <row r="101" s="2" customFormat="1" ht="57.6" customHeight="1" x14ac:dyDescent="0.25"/>
    <row r="102" s="2" customFormat="1" ht="57.6" customHeight="1" x14ac:dyDescent="0.25"/>
    <row r="103" s="2" customFormat="1" ht="57.6" customHeight="1" x14ac:dyDescent="0.25"/>
    <row r="104" s="2" customFormat="1" ht="57.6" customHeight="1" x14ac:dyDescent="0.25"/>
    <row r="105" s="2" customFormat="1" ht="57.6" customHeight="1" x14ac:dyDescent="0.25"/>
    <row r="106" s="2" customFormat="1" ht="57.6" customHeight="1" x14ac:dyDescent="0.25"/>
    <row r="107" s="2" customFormat="1" ht="57.6" customHeight="1" x14ac:dyDescent="0.25"/>
    <row r="108" s="2" customFormat="1" ht="57.6" customHeight="1" x14ac:dyDescent="0.25"/>
    <row r="109" s="2" customFormat="1" ht="57.6" customHeight="1" x14ac:dyDescent="0.25"/>
    <row r="110" s="2" customFormat="1" ht="57.6" customHeight="1" x14ac:dyDescent="0.25"/>
    <row r="111" s="2" customFormat="1" ht="57.6" customHeight="1" x14ac:dyDescent="0.25"/>
    <row r="112" s="2" customFormat="1" ht="57.6" customHeight="1" x14ac:dyDescent="0.25"/>
    <row r="113" s="2" customFormat="1" ht="57.6" customHeight="1" x14ac:dyDescent="0.25"/>
    <row r="114" s="2" customFormat="1" ht="57.6" customHeight="1" x14ac:dyDescent="0.25"/>
    <row r="115" s="2" customFormat="1" ht="57.6" customHeight="1" x14ac:dyDescent="0.25"/>
    <row r="116" s="2" customFormat="1" ht="57.6" customHeight="1" x14ac:dyDescent="0.25"/>
    <row r="117" s="2" customFormat="1" ht="57.6" customHeight="1" x14ac:dyDescent="0.25"/>
    <row r="118" s="2" customFormat="1" ht="57.6" customHeight="1" x14ac:dyDescent="0.25"/>
    <row r="119" s="2" customFormat="1" ht="57.6" customHeight="1" x14ac:dyDescent="0.25"/>
    <row r="120" s="2" customFormat="1" ht="57.6" customHeight="1" x14ac:dyDescent="0.25"/>
    <row r="121" s="2" customFormat="1" ht="57.6" customHeight="1" x14ac:dyDescent="0.25"/>
    <row r="122" s="2" customFormat="1" ht="57.6" customHeight="1" x14ac:dyDescent="0.25"/>
    <row r="123" s="2" customFormat="1" ht="57.6" customHeight="1" x14ac:dyDescent="0.25"/>
    <row r="124" s="2" customFormat="1" ht="57.6" customHeight="1" x14ac:dyDescent="0.25"/>
    <row r="125" s="2" customFormat="1" ht="57.6" customHeight="1" x14ac:dyDescent="0.25"/>
    <row r="126" s="2" customFormat="1" ht="57.6" customHeight="1" x14ac:dyDescent="0.25"/>
    <row r="127" s="2" customFormat="1" ht="57.6" customHeight="1" x14ac:dyDescent="0.25"/>
    <row r="128" s="2" customFormat="1" ht="57.6" customHeight="1" x14ac:dyDescent="0.25"/>
    <row r="129" s="2" customFormat="1" ht="57.6" customHeight="1" x14ac:dyDescent="0.25"/>
    <row r="130" s="2" customFormat="1" ht="57.6" customHeight="1" x14ac:dyDescent="0.25"/>
    <row r="131" s="2" customFormat="1" ht="57.6" customHeight="1" x14ac:dyDescent="0.25"/>
    <row r="132" s="2" customFormat="1" ht="57.6" customHeight="1" x14ac:dyDescent="0.25"/>
    <row r="133" s="2" customFormat="1" ht="57.6" customHeight="1" x14ac:dyDescent="0.25"/>
    <row r="134" s="2" customFormat="1" ht="57.6" customHeight="1" x14ac:dyDescent="0.25"/>
    <row r="135" s="2" customFormat="1" ht="57.6" customHeight="1" x14ac:dyDescent="0.25"/>
    <row r="136" s="2" customFormat="1" ht="57.6" customHeight="1" x14ac:dyDescent="0.25"/>
    <row r="137" s="2" customFormat="1" ht="57.6" customHeight="1" x14ac:dyDescent="0.25"/>
    <row r="138" s="2" customFormat="1" ht="57.6" customHeight="1" x14ac:dyDescent="0.25"/>
    <row r="139" s="2" customFormat="1" ht="57.6" customHeight="1" x14ac:dyDescent="0.25"/>
    <row r="140" s="2" customFormat="1" ht="57.6" customHeight="1" x14ac:dyDescent="0.25"/>
    <row r="141" s="2" customFormat="1" ht="57.6" customHeight="1" x14ac:dyDescent="0.25"/>
    <row r="142" s="2" customFormat="1" ht="57.6" customHeight="1" x14ac:dyDescent="0.25"/>
    <row r="143" s="2" customFormat="1" ht="57.6" customHeight="1" x14ac:dyDescent="0.25"/>
    <row r="144" s="2" customFormat="1" ht="57.6" customHeight="1" x14ac:dyDescent="0.25"/>
    <row r="145" s="2" customFormat="1" ht="57.6" customHeight="1" x14ac:dyDescent="0.25"/>
    <row r="146" s="2" customFormat="1" ht="57.6" customHeight="1" x14ac:dyDescent="0.25"/>
    <row r="147" s="2" customFormat="1" ht="57.6" customHeight="1" x14ac:dyDescent="0.25"/>
    <row r="148" s="2" customFormat="1" ht="57.6" customHeight="1" x14ac:dyDescent="0.25"/>
    <row r="149" s="2" customFormat="1" ht="57.6" customHeight="1" x14ac:dyDescent="0.25"/>
    <row r="150" s="2" customFormat="1" ht="57.6" customHeight="1" x14ac:dyDescent="0.25"/>
    <row r="151" s="2" customFormat="1" ht="57.6" customHeight="1" x14ac:dyDescent="0.25"/>
    <row r="152" s="2" customFormat="1" ht="57.6" customHeight="1" x14ac:dyDescent="0.25"/>
    <row r="153" s="2" customFormat="1" ht="57.6" customHeight="1" x14ac:dyDescent="0.25"/>
    <row r="154" s="2" customFormat="1" ht="57.6" customHeight="1" x14ac:dyDescent="0.25"/>
    <row r="155" s="2" customFormat="1" ht="57.6" customHeight="1" x14ac:dyDescent="0.25"/>
    <row r="156" s="2" customFormat="1" ht="57.6" customHeight="1" x14ac:dyDescent="0.25"/>
    <row r="157" s="2" customFormat="1" ht="57.6" customHeight="1" x14ac:dyDescent="0.25"/>
    <row r="158" s="2" customFormat="1" ht="57.6" customHeight="1" x14ac:dyDescent="0.25"/>
    <row r="159" s="2" customFormat="1" ht="57.6" customHeight="1" x14ac:dyDescent="0.25"/>
    <row r="160" s="2" customFormat="1" ht="57.6" customHeight="1" x14ac:dyDescent="0.25"/>
    <row r="161" s="2" customFormat="1" ht="57.6" customHeight="1" x14ac:dyDescent="0.25"/>
    <row r="162" s="2" customFormat="1" ht="57.6" customHeight="1" x14ac:dyDescent="0.25"/>
    <row r="163" s="2" customFormat="1" ht="57.6" customHeight="1" x14ac:dyDescent="0.25"/>
    <row r="164" s="2" customFormat="1" ht="57.6" customHeight="1" x14ac:dyDescent="0.25"/>
    <row r="165" s="2" customFormat="1" ht="57.6" customHeight="1" x14ac:dyDescent="0.25"/>
    <row r="166" s="2" customFormat="1" ht="57.6" customHeight="1" x14ac:dyDescent="0.25"/>
    <row r="167" s="2" customFormat="1" ht="57.6" customHeight="1" x14ac:dyDescent="0.25"/>
    <row r="168" s="2" customFormat="1" ht="57.6" customHeight="1" x14ac:dyDescent="0.25"/>
    <row r="169" s="2" customFormat="1" ht="57.6" customHeight="1" x14ac:dyDescent="0.25"/>
    <row r="170" s="2" customFormat="1" ht="57.6" customHeight="1" x14ac:dyDescent="0.25"/>
    <row r="171" s="2" customFormat="1" ht="57.6" customHeight="1" x14ac:dyDescent="0.25"/>
    <row r="172" s="2" customFormat="1" ht="57.6" customHeight="1" x14ac:dyDescent="0.25"/>
    <row r="173" s="2" customFormat="1" ht="57.6" customHeight="1" x14ac:dyDescent="0.25"/>
    <row r="174" s="2" customFormat="1" ht="57.6" customHeight="1" x14ac:dyDescent="0.25"/>
    <row r="175" s="2" customFormat="1" ht="57.6" customHeight="1" x14ac:dyDescent="0.25"/>
    <row r="176" s="2" customFormat="1" ht="57.6" customHeight="1" x14ac:dyDescent="0.25"/>
    <row r="177" s="2" customFormat="1" ht="57.6" customHeight="1" x14ac:dyDescent="0.25"/>
    <row r="178" s="2" customFormat="1" ht="57.6" customHeight="1" x14ac:dyDescent="0.25"/>
    <row r="179" s="2" customFormat="1" ht="57.6" customHeight="1" x14ac:dyDescent="0.25"/>
    <row r="180" s="2" customFormat="1" ht="57.6" customHeight="1" x14ac:dyDescent="0.25"/>
    <row r="181" s="2" customFormat="1" ht="57.6" customHeight="1" x14ac:dyDescent="0.25"/>
    <row r="182" s="2" customFormat="1" ht="57.6" customHeight="1" x14ac:dyDescent="0.25"/>
    <row r="183" s="2" customFormat="1" ht="57.6" customHeight="1" x14ac:dyDescent="0.25"/>
    <row r="184" s="2" customFormat="1" ht="57.6" customHeight="1" x14ac:dyDescent="0.25"/>
    <row r="185" s="2" customFormat="1" ht="57.6" customHeight="1" x14ac:dyDescent="0.25"/>
    <row r="186" s="2" customFormat="1" ht="57.6" customHeight="1" x14ac:dyDescent="0.25"/>
    <row r="187" s="2" customFormat="1" ht="57.6" customHeight="1" x14ac:dyDescent="0.25"/>
    <row r="188" s="2" customFormat="1" ht="57.6" customHeight="1" x14ac:dyDescent="0.25"/>
    <row r="189" s="2" customFormat="1" ht="57.6" customHeight="1" x14ac:dyDescent="0.25"/>
    <row r="190" s="2" customFormat="1" ht="57.6" customHeight="1" x14ac:dyDescent="0.25"/>
    <row r="191" s="2" customFormat="1" ht="57.6" customHeight="1" x14ac:dyDescent="0.25"/>
    <row r="192" s="2" customFormat="1" ht="57.6" customHeight="1" x14ac:dyDescent="0.25"/>
    <row r="193" s="2" customFormat="1" ht="57.6" customHeight="1" x14ac:dyDescent="0.25"/>
    <row r="194" s="2" customFormat="1" ht="57.6" customHeight="1" x14ac:dyDescent="0.25"/>
    <row r="195" s="2" customFormat="1" ht="57.6" customHeight="1" x14ac:dyDescent="0.25"/>
    <row r="196" s="2" customFormat="1" ht="57.6" customHeight="1" x14ac:dyDescent="0.25"/>
    <row r="197" s="2" customFormat="1" ht="57.6" customHeight="1" x14ac:dyDescent="0.25"/>
    <row r="198" s="2" customFormat="1" ht="57.6" customHeight="1" x14ac:dyDescent="0.25"/>
    <row r="199" s="2" customFormat="1" ht="57.6" customHeight="1" x14ac:dyDescent="0.25"/>
    <row r="200" s="2" customFormat="1" ht="57.6" customHeight="1" x14ac:dyDescent="0.25"/>
    <row r="201" s="2" customFormat="1" ht="57.6" customHeight="1" x14ac:dyDescent="0.25"/>
    <row r="202" s="2" customFormat="1" ht="57.6" customHeight="1" x14ac:dyDescent="0.25"/>
    <row r="203" s="2" customFormat="1" ht="57.6" customHeight="1" x14ac:dyDescent="0.25"/>
    <row r="204" s="2" customFormat="1" ht="57.6" customHeight="1" x14ac:dyDescent="0.25"/>
    <row r="205" s="2" customFormat="1" ht="57.6" customHeight="1" x14ac:dyDescent="0.25"/>
    <row r="206" s="2" customFormat="1" ht="57.6" customHeight="1" x14ac:dyDescent="0.25"/>
    <row r="207" s="2" customFormat="1" ht="57.6" customHeight="1" x14ac:dyDescent="0.25"/>
    <row r="208" s="2" customFormat="1" ht="57.6" customHeight="1" x14ac:dyDescent="0.25"/>
    <row r="209" s="2" customFormat="1" ht="57.6" customHeight="1" x14ac:dyDescent="0.25"/>
    <row r="210" s="2" customFormat="1" ht="57.6" customHeight="1" x14ac:dyDescent="0.25"/>
    <row r="211" s="2" customFormat="1" ht="57.6" customHeight="1" x14ac:dyDescent="0.25"/>
    <row r="212" s="2" customFormat="1" ht="57.6" customHeight="1" x14ac:dyDescent="0.25"/>
    <row r="213" s="2" customFormat="1" ht="57.6" customHeight="1" x14ac:dyDescent="0.25"/>
    <row r="214" s="2" customFormat="1" ht="57.6" customHeight="1" x14ac:dyDescent="0.25"/>
    <row r="215" s="2" customFormat="1" ht="57.6" customHeight="1" x14ac:dyDescent="0.25"/>
    <row r="216" s="2" customFormat="1" ht="57.6" customHeight="1" x14ac:dyDescent="0.25"/>
    <row r="217" s="2" customFormat="1" ht="57.6" customHeight="1" x14ac:dyDescent="0.25"/>
    <row r="218" s="2" customFormat="1" ht="57.6" customHeight="1" x14ac:dyDescent="0.25"/>
    <row r="219" s="2" customFormat="1" ht="57.6" customHeight="1" x14ac:dyDescent="0.25"/>
    <row r="220" s="2" customFormat="1" ht="57.6" customHeight="1" x14ac:dyDescent="0.25"/>
    <row r="221" s="2" customFormat="1" ht="57.6" customHeight="1" x14ac:dyDescent="0.25"/>
    <row r="222" s="2" customFormat="1" ht="57.6" customHeight="1" x14ac:dyDescent="0.25"/>
    <row r="223" s="2" customFormat="1" ht="57.6" customHeight="1" x14ac:dyDescent="0.25"/>
    <row r="224" s="2" customFormat="1" ht="57.6" customHeight="1" x14ac:dyDescent="0.25"/>
    <row r="225" s="2" customFormat="1" ht="57.6" customHeight="1" x14ac:dyDescent="0.25"/>
    <row r="226" s="2" customFormat="1" ht="57.6" customHeight="1" x14ac:dyDescent="0.25"/>
    <row r="227" s="2" customFormat="1" ht="57.6" customHeight="1" x14ac:dyDescent="0.25"/>
    <row r="228" s="2" customFormat="1" ht="57.6" customHeight="1" x14ac:dyDescent="0.25"/>
    <row r="229" s="2" customFormat="1" ht="57.6" customHeight="1" x14ac:dyDescent="0.25"/>
    <row r="230" s="2" customFormat="1" ht="57.6" customHeight="1" x14ac:dyDescent="0.25"/>
    <row r="231" s="2" customFormat="1" ht="57.6" customHeight="1" x14ac:dyDescent="0.25"/>
    <row r="232" s="2" customFormat="1" ht="57.6" customHeight="1" x14ac:dyDescent="0.25"/>
    <row r="233" s="2" customFormat="1" ht="57.6" customHeight="1" x14ac:dyDescent="0.25"/>
    <row r="234" s="2" customFormat="1" ht="57.6" customHeight="1" x14ac:dyDescent="0.25"/>
    <row r="235" s="2" customFormat="1" ht="57.6" customHeight="1" x14ac:dyDescent="0.25"/>
    <row r="236" s="2" customFormat="1" ht="57.6" customHeight="1" x14ac:dyDescent="0.25"/>
    <row r="237" s="2" customFormat="1" ht="57.6" customHeight="1" x14ac:dyDescent="0.25"/>
    <row r="238" s="2" customFormat="1" ht="57.6" customHeight="1" x14ac:dyDescent="0.25"/>
    <row r="239" s="2" customFormat="1" ht="57.6" customHeight="1" x14ac:dyDescent="0.25"/>
    <row r="240" s="2" customFormat="1" ht="57.6" customHeight="1" x14ac:dyDescent="0.25"/>
    <row r="241" s="2" customFormat="1" ht="57.6" customHeight="1" x14ac:dyDescent="0.25"/>
    <row r="242" s="2" customFormat="1" ht="57.6" customHeight="1" x14ac:dyDescent="0.25"/>
    <row r="243" s="2" customFormat="1" ht="57.6" customHeight="1" x14ac:dyDescent="0.25"/>
    <row r="244" s="2" customFormat="1" ht="57.6" customHeight="1" x14ac:dyDescent="0.25"/>
    <row r="245" s="2" customFormat="1" ht="57.6" customHeight="1" x14ac:dyDescent="0.25"/>
    <row r="246" s="2" customFormat="1" ht="57.6" customHeight="1" x14ac:dyDescent="0.25"/>
    <row r="247" s="2" customFormat="1" ht="57.6" customHeight="1" x14ac:dyDescent="0.25"/>
    <row r="248" s="2" customFormat="1" ht="57.6" customHeight="1" x14ac:dyDescent="0.25"/>
    <row r="249" s="2" customFormat="1" ht="57.6" customHeight="1" x14ac:dyDescent="0.25"/>
    <row r="250" s="2" customFormat="1" ht="57.6" customHeight="1" x14ac:dyDescent="0.25"/>
    <row r="251" s="2" customFormat="1" ht="57.6" customHeight="1" x14ac:dyDescent="0.25"/>
    <row r="252" s="2" customFormat="1" ht="57.6" customHeight="1" x14ac:dyDescent="0.25"/>
    <row r="253" s="2" customFormat="1" ht="57.6" customHeight="1" x14ac:dyDescent="0.25"/>
    <row r="254" s="2" customFormat="1" ht="57.6" customHeight="1" x14ac:dyDescent="0.25"/>
    <row r="255" s="2" customFormat="1" ht="57.6" customHeight="1" x14ac:dyDescent="0.25"/>
    <row r="256" s="2" customFormat="1" ht="57.6" customHeight="1" x14ac:dyDescent="0.25"/>
    <row r="257" s="2" customFormat="1" ht="57.6" customHeight="1" x14ac:dyDescent="0.25"/>
    <row r="258" s="2" customFormat="1" ht="57.6" customHeight="1" x14ac:dyDescent="0.25"/>
    <row r="259" s="2" customFormat="1" ht="57.6" customHeight="1" x14ac:dyDescent="0.25"/>
    <row r="260" s="2" customFormat="1" ht="57.6" customHeight="1" x14ac:dyDescent="0.25"/>
    <row r="261" s="2" customFormat="1" ht="57.6" customHeight="1" x14ac:dyDescent="0.25"/>
    <row r="262" s="2" customFormat="1" ht="57.6" customHeight="1" x14ac:dyDescent="0.25"/>
    <row r="263" s="2" customFormat="1" ht="57.6" customHeight="1" x14ac:dyDescent="0.25"/>
    <row r="264" s="2" customFormat="1" ht="57.6" customHeight="1" x14ac:dyDescent="0.25"/>
    <row r="265" s="2" customFormat="1" ht="57.6" customHeight="1" x14ac:dyDescent="0.25"/>
    <row r="266" s="2" customFormat="1" ht="57.6" customHeight="1" x14ac:dyDescent="0.25"/>
    <row r="267" s="2" customFormat="1" ht="57.6" customHeight="1" x14ac:dyDescent="0.25"/>
    <row r="268" s="2" customFormat="1" ht="57.6" customHeight="1" x14ac:dyDescent="0.25"/>
    <row r="269" s="2" customFormat="1" ht="57.6" customHeight="1" x14ac:dyDescent="0.25"/>
    <row r="270" s="2" customFormat="1" ht="57.6" customHeight="1" x14ac:dyDescent="0.25"/>
    <row r="271" s="2" customFormat="1" ht="57.6" customHeight="1" x14ac:dyDescent="0.25"/>
    <row r="272" s="2" customFormat="1" ht="57.6" customHeight="1" x14ac:dyDescent="0.25"/>
    <row r="273" s="2" customFormat="1" ht="57.6" customHeight="1" x14ac:dyDescent="0.25"/>
    <row r="274" s="2" customFormat="1" ht="57.6" customHeight="1" x14ac:dyDescent="0.25"/>
    <row r="275" s="2" customFormat="1" ht="57.6" customHeight="1" x14ac:dyDescent="0.25"/>
    <row r="276" s="2" customFormat="1" ht="57.6" customHeight="1" x14ac:dyDescent="0.25"/>
    <row r="277" s="2" customFormat="1" ht="57.6" customHeight="1" x14ac:dyDescent="0.25"/>
    <row r="278" s="2" customFormat="1" ht="57.6" customHeight="1" x14ac:dyDescent="0.25"/>
    <row r="279" s="2" customFormat="1" ht="57.6" customHeight="1" x14ac:dyDescent="0.25"/>
    <row r="280" s="2" customFormat="1" ht="57.6" customHeight="1" x14ac:dyDescent="0.25"/>
    <row r="281" s="2" customFormat="1" ht="57.6" customHeight="1" x14ac:dyDescent="0.25"/>
    <row r="282" s="2" customFormat="1" ht="57.6" customHeight="1" x14ac:dyDescent="0.25"/>
    <row r="283" s="2" customFormat="1" ht="57.6" customHeight="1" x14ac:dyDescent="0.25"/>
    <row r="284" s="2" customFormat="1" ht="57.6" customHeight="1" x14ac:dyDescent="0.25"/>
    <row r="285" s="2" customFormat="1" ht="57.6" customHeight="1" x14ac:dyDescent="0.25"/>
    <row r="286" s="2" customFormat="1" ht="57.6" customHeight="1" x14ac:dyDescent="0.25"/>
    <row r="287" s="2" customFormat="1" ht="57.6" customHeight="1" x14ac:dyDescent="0.25"/>
    <row r="288" s="2" customFormat="1" ht="57.6" customHeight="1" x14ac:dyDescent="0.25"/>
    <row r="289" s="2" customFormat="1" ht="57.6" customHeight="1" x14ac:dyDescent="0.25"/>
    <row r="290" s="2" customFormat="1" ht="57.6" customHeight="1" x14ac:dyDescent="0.25"/>
    <row r="291" s="2" customFormat="1" ht="57.6" customHeight="1" x14ac:dyDescent="0.25"/>
    <row r="292" s="2" customFormat="1" ht="57.6" customHeight="1" x14ac:dyDescent="0.25"/>
    <row r="293" s="2" customFormat="1" ht="57.6" customHeight="1" x14ac:dyDescent="0.25"/>
    <row r="294" s="2" customFormat="1" ht="57.6" customHeight="1" x14ac:dyDescent="0.25"/>
    <row r="295" s="2" customFormat="1" ht="57.6" customHeight="1" x14ac:dyDescent="0.25"/>
    <row r="296" s="2" customFormat="1" ht="57.6" customHeight="1" x14ac:dyDescent="0.25"/>
    <row r="297" s="2" customFormat="1" ht="57.6" customHeight="1" x14ac:dyDescent="0.25"/>
    <row r="298" s="2" customFormat="1" ht="57.6" customHeight="1" x14ac:dyDescent="0.25"/>
    <row r="299" s="2" customFormat="1" ht="57.6" customHeight="1" x14ac:dyDescent="0.25"/>
    <row r="300" s="2" customFormat="1" ht="57.6" customHeight="1" x14ac:dyDescent="0.25"/>
    <row r="301" s="2" customFormat="1" ht="57.6" customHeight="1" x14ac:dyDescent="0.25"/>
    <row r="302" s="2" customFormat="1" ht="57.6" customHeight="1" x14ac:dyDescent="0.25"/>
    <row r="303" s="2" customFormat="1" ht="57.6" customHeight="1" x14ac:dyDescent="0.25"/>
    <row r="304" s="2" customFormat="1" ht="57.6" customHeight="1" x14ac:dyDescent="0.25"/>
    <row r="305" s="2" customFormat="1" ht="57.6" customHeight="1" x14ac:dyDescent="0.25"/>
    <row r="306" s="2" customFormat="1" ht="57.6" customHeight="1" x14ac:dyDescent="0.25"/>
    <row r="307" s="2" customFormat="1" ht="57.6" customHeight="1" x14ac:dyDescent="0.25"/>
    <row r="308" s="2" customFormat="1" ht="57.6" customHeight="1" x14ac:dyDescent="0.25"/>
    <row r="309" s="2" customFormat="1" ht="57.6" customHeight="1" x14ac:dyDescent="0.25"/>
    <row r="310" s="2" customFormat="1" ht="57.6" customHeight="1" x14ac:dyDescent="0.25"/>
    <row r="311" s="2" customFormat="1" ht="57.6" customHeight="1" x14ac:dyDescent="0.25"/>
    <row r="312" s="2" customFormat="1" ht="57.6" customHeight="1" x14ac:dyDescent="0.25"/>
    <row r="313" s="2" customFormat="1" ht="57.6" customHeight="1" x14ac:dyDescent="0.25"/>
    <row r="314" s="2" customFormat="1" ht="57.6" customHeight="1" x14ac:dyDescent="0.25"/>
    <row r="315" s="2" customFormat="1" ht="57.6" customHeight="1" x14ac:dyDescent="0.25"/>
    <row r="316" s="2" customFormat="1" ht="57.6" customHeight="1" x14ac:dyDescent="0.25"/>
    <row r="317" s="2" customFormat="1" ht="57.6" customHeight="1" x14ac:dyDescent="0.25"/>
    <row r="318" s="2" customFormat="1" ht="57.6" customHeight="1" x14ac:dyDescent="0.25"/>
    <row r="319" s="2" customFormat="1" ht="57.6" customHeight="1" x14ac:dyDescent="0.25"/>
    <row r="320" s="2" customFormat="1" ht="57.6" customHeight="1" x14ac:dyDescent="0.25"/>
    <row r="321" s="2" customFormat="1" ht="57.6" customHeight="1" x14ac:dyDescent="0.25"/>
    <row r="322" s="2" customFormat="1" ht="57.6" customHeight="1" x14ac:dyDescent="0.25"/>
    <row r="323" s="2" customFormat="1" ht="57.6" customHeight="1" x14ac:dyDescent="0.25"/>
    <row r="324" s="2" customFormat="1" ht="57.6" customHeight="1" x14ac:dyDescent="0.25"/>
    <row r="325" s="2" customFormat="1" ht="57.6" customHeight="1" x14ac:dyDescent="0.25"/>
    <row r="326" s="2" customFormat="1" ht="57.6" customHeight="1" x14ac:dyDescent="0.25"/>
    <row r="327" s="2" customFormat="1" ht="57.6" customHeight="1" x14ac:dyDescent="0.25"/>
    <row r="328" s="2" customFormat="1" ht="57.6" customHeight="1" x14ac:dyDescent="0.25"/>
    <row r="329" s="2" customFormat="1" ht="57.6" customHeight="1" x14ac:dyDescent="0.25"/>
    <row r="330" s="2" customFormat="1" ht="57.6" customHeight="1" x14ac:dyDescent="0.25"/>
    <row r="331" s="2" customFormat="1" ht="57.6" customHeight="1" x14ac:dyDescent="0.25"/>
    <row r="332" s="2" customFormat="1" ht="57.6" customHeight="1" x14ac:dyDescent="0.25"/>
    <row r="333" s="2" customFormat="1" ht="57.6" customHeight="1" x14ac:dyDescent="0.25"/>
    <row r="334" s="2" customFormat="1" ht="57.6" customHeight="1" x14ac:dyDescent="0.25"/>
    <row r="335" s="2" customFormat="1" ht="57.6" customHeight="1" x14ac:dyDescent="0.25"/>
    <row r="336" s="2" customFormat="1" ht="57.6" customHeight="1" x14ac:dyDescent="0.25"/>
    <row r="337" s="2" customFormat="1" ht="57.6" customHeight="1" x14ac:dyDescent="0.25"/>
    <row r="338" s="2" customFormat="1" ht="57.6" customHeight="1" x14ac:dyDescent="0.25"/>
    <row r="339" s="2" customFormat="1" ht="57.6" customHeight="1" x14ac:dyDescent="0.25"/>
    <row r="340" s="2" customFormat="1" ht="57.6" customHeight="1" x14ac:dyDescent="0.25"/>
    <row r="341" s="2" customFormat="1" ht="57.6" customHeight="1" x14ac:dyDescent="0.25"/>
    <row r="342" s="2" customFormat="1" ht="57.6" customHeight="1" x14ac:dyDescent="0.25"/>
    <row r="343" s="2" customFormat="1" ht="57.6" customHeight="1" x14ac:dyDescent="0.25"/>
    <row r="344" s="2" customFormat="1" ht="57.6" customHeight="1" x14ac:dyDescent="0.25"/>
    <row r="345" s="2" customFormat="1" ht="57.6" customHeight="1" x14ac:dyDescent="0.25"/>
    <row r="346" s="2" customFormat="1" ht="57.6" customHeight="1" x14ac:dyDescent="0.25"/>
    <row r="347" s="2" customFormat="1" ht="57.6" customHeight="1" x14ac:dyDescent="0.25"/>
    <row r="348" s="2" customFormat="1" ht="57.6" customHeight="1" x14ac:dyDescent="0.25"/>
    <row r="349" s="2" customFormat="1" ht="57.6" customHeight="1" x14ac:dyDescent="0.25"/>
    <row r="350" s="2" customFormat="1" ht="57.6" customHeight="1" x14ac:dyDescent="0.25"/>
    <row r="351" s="2" customFormat="1" ht="57.6" customHeight="1" x14ac:dyDescent="0.25"/>
    <row r="352" s="2" customFormat="1" ht="57.6" customHeight="1" x14ac:dyDescent="0.25"/>
    <row r="353" s="2" customFormat="1" ht="57.6" customHeight="1" x14ac:dyDescent="0.25"/>
    <row r="354" s="2" customFormat="1" ht="57.6" customHeight="1" x14ac:dyDescent="0.25"/>
    <row r="355" s="2" customFormat="1" ht="57.6" customHeight="1" x14ac:dyDescent="0.25"/>
    <row r="356" s="2" customFormat="1" ht="57.6" customHeight="1" x14ac:dyDescent="0.25"/>
    <row r="357" s="2" customFormat="1" ht="57.6" customHeight="1" x14ac:dyDescent="0.25"/>
    <row r="358" s="2" customFormat="1" ht="57.6" customHeight="1" x14ac:dyDescent="0.25"/>
    <row r="359" s="2" customFormat="1" ht="57.6" customHeight="1" x14ac:dyDescent="0.25"/>
    <row r="360" s="2" customFormat="1" ht="57.6" customHeight="1" x14ac:dyDescent="0.25"/>
    <row r="361" s="2" customFormat="1" ht="57.6" customHeight="1" x14ac:dyDescent="0.25"/>
    <row r="362" s="2" customFormat="1" ht="57.6" customHeight="1" x14ac:dyDescent="0.25"/>
    <row r="363" s="2" customFormat="1" ht="57.6" customHeight="1" x14ac:dyDescent="0.25"/>
    <row r="364" s="2" customFormat="1" ht="57.6" customHeight="1" x14ac:dyDescent="0.25"/>
    <row r="365" s="2" customFormat="1" ht="57.6" customHeight="1" x14ac:dyDescent="0.25"/>
    <row r="366" s="2" customFormat="1" ht="57.6" customHeight="1" x14ac:dyDescent="0.25"/>
    <row r="367" s="2" customFormat="1" ht="57.6" customHeight="1" x14ac:dyDescent="0.25"/>
    <row r="368" s="2" customFormat="1" ht="57.6" customHeight="1" x14ac:dyDescent="0.25"/>
    <row r="369" s="2" customFormat="1" ht="57.6" customHeight="1" x14ac:dyDescent="0.25"/>
    <row r="370" s="2" customFormat="1" ht="57.6" customHeight="1" x14ac:dyDescent="0.25"/>
    <row r="371" s="2" customFormat="1" ht="57.6" customHeight="1" x14ac:dyDescent="0.25"/>
    <row r="372" s="2" customFormat="1" ht="57.6" customHeight="1" x14ac:dyDescent="0.25"/>
    <row r="373" s="2" customFormat="1" ht="57.6" customHeight="1" x14ac:dyDescent="0.25"/>
    <row r="374" s="2" customFormat="1" ht="57.6" customHeight="1" x14ac:dyDescent="0.25"/>
    <row r="375" s="2" customFormat="1" ht="57.6" customHeight="1" x14ac:dyDescent="0.25"/>
    <row r="376" s="2" customFormat="1" ht="57.6" customHeight="1" x14ac:dyDescent="0.25"/>
    <row r="377" s="2" customFormat="1" ht="57.6" customHeight="1" x14ac:dyDescent="0.25"/>
    <row r="378" s="2" customFormat="1" ht="57.6" customHeight="1" x14ac:dyDescent="0.25"/>
    <row r="379" s="2" customFormat="1" ht="57.6" customHeight="1" x14ac:dyDescent="0.25"/>
    <row r="380" s="2" customFormat="1" ht="57.6" customHeight="1" x14ac:dyDescent="0.25"/>
    <row r="381" s="2" customFormat="1" ht="57.6" customHeight="1" x14ac:dyDescent="0.25"/>
    <row r="382" s="2" customFormat="1" ht="57.6" customHeight="1" x14ac:dyDescent="0.25"/>
    <row r="383" s="2" customFormat="1" ht="57.6" customHeight="1" x14ac:dyDescent="0.25"/>
    <row r="384" s="2" customFormat="1" ht="57.6" customHeight="1" x14ac:dyDescent="0.25"/>
    <row r="385" s="2" customFormat="1" ht="57.6" customHeight="1" x14ac:dyDescent="0.25"/>
    <row r="386" s="2" customFormat="1" ht="57.6" customHeight="1" x14ac:dyDescent="0.25"/>
    <row r="387" s="2" customFormat="1" ht="57.6" customHeight="1" x14ac:dyDescent="0.25"/>
    <row r="388" s="2" customFormat="1" ht="57.6" customHeight="1" x14ac:dyDescent="0.25"/>
    <row r="389" s="2" customFormat="1" ht="57.6" customHeight="1" x14ac:dyDescent="0.25"/>
    <row r="390" s="2" customFormat="1" ht="57.6" customHeight="1" x14ac:dyDescent="0.25"/>
    <row r="391" s="2" customFormat="1" ht="57.6" customHeight="1" x14ac:dyDescent="0.25"/>
    <row r="392" s="2" customFormat="1" ht="57.6" customHeight="1" x14ac:dyDescent="0.25"/>
    <row r="393" s="2" customFormat="1" ht="57.6" customHeight="1" x14ac:dyDescent="0.25"/>
    <row r="394" s="2" customFormat="1" ht="57.6" customHeight="1" x14ac:dyDescent="0.25"/>
    <row r="395" s="2" customFormat="1" ht="57.6" customHeight="1" x14ac:dyDescent="0.25"/>
    <row r="396" s="2" customFormat="1" ht="57.6" customHeight="1" x14ac:dyDescent="0.25"/>
    <row r="397" s="2" customFormat="1" ht="57.6" customHeight="1" x14ac:dyDescent="0.25"/>
    <row r="398" s="2" customFormat="1" ht="57.6" customHeight="1" x14ac:dyDescent="0.25"/>
    <row r="399" s="2" customFormat="1" ht="57.6" customHeight="1" x14ac:dyDescent="0.25"/>
    <row r="400" s="2" customFormat="1" ht="57.6" customHeight="1" x14ac:dyDescent="0.25"/>
    <row r="401" s="2" customFormat="1" ht="57.6" customHeight="1" x14ac:dyDescent="0.25"/>
    <row r="402" s="2" customFormat="1" ht="57.6" customHeight="1" x14ac:dyDescent="0.25"/>
    <row r="403" s="2" customFormat="1" ht="57.6" customHeight="1" x14ac:dyDescent="0.25"/>
    <row r="404" s="2" customFormat="1" ht="57.6" customHeight="1" x14ac:dyDescent="0.25"/>
    <row r="405" s="2" customFormat="1" ht="57.6" customHeight="1" x14ac:dyDescent="0.25"/>
    <row r="406" s="2" customFormat="1" ht="57.6" customHeight="1" x14ac:dyDescent="0.25"/>
    <row r="407" s="2" customFormat="1" ht="57.6" customHeight="1" x14ac:dyDescent="0.25"/>
    <row r="408" s="2" customFormat="1" ht="57.6" customHeight="1" x14ac:dyDescent="0.25"/>
    <row r="409" s="2" customFormat="1" ht="57.6" customHeight="1" x14ac:dyDescent="0.25"/>
    <row r="410" s="2" customFormat="1" ht="57.6" customHeight="1" x14ac:dyDescent="0.25"/>
    <row r="411" s="2" customFormat="1" ht="57.6" customHeight="1" x14ac:dyDescent="0.25"/>
    <row r="412" s="2" customFormat="1" ht="57.6" customHeight="1" x14ac:dyDescent="0.25"/>
    <row r="413" s="2" customFormat="1" ht="57.6" customHeight="1" x14ac:dyDescent="0.25"/>
    <row r="414" s="2" customFormat="1" ht="57.6" customHeight="1" x14ac:dyDescent="0.25"/>
    <row r="415" s="2" customFormat="1" ht="57.6" customHeight="1" x14ac:dyDescent="0.25"/>
    <row r="416" s="2" customFormat="1" ht="57.6" customHeight="1" x14ac:dyDescent="0.25"/>
    <row r="417" s="2" customFormat="1" ht="57.6" customHeight="1" x14ac:dyDescent="0.25"/>
    <row r="418" s="2" customFormat="1" ht="57.6" customHeight="1" x14ac:dyDescent="0.25"/>
    <row r="419" s="2" customFormat="1" ht="57.6" customHeight="1" x14ac:dyDescent="0.25"/>
    <row r="420" s="2" customFormat="1" ht="57.6" customHeight="1" x14ac:dyDescent="0.25"/>
    <row r="421" s="2" customFormat="1" ht="57.6" customHeight="1" x14ac:dyDescent="0.25"/>
    <row r="422" s="2" customFormat="1" ht="57.6" customHeight="1" x14ac:dyDescent="0.25"/>
    <row r="423" s="2" customFormat="1" ht="57.6" customHeight="1" x14ac:dyDescent="0.25"/>
    <row r="424" s="2" customFormat="1" ht="57.6" customHeight="1" x14ac:dyDescent="0.25"/>
    <row r="425" s="2" customFormat="1" ht="57.6" customHeight="1" x14ac:dyDescent="0.25"/>
    <row r="426" s="2" customFormat="1" ht="57.6" customHeight="1" x14ac:dyDescent="0.25"/>
    <row r="427" s="2" customFormat="1" ht="57.6" customHeight="1" x14ac:dyDescent="0.25"/>
    <row r="428" s="2" customFormat="1" ht="57.6" customHeight="1" x14ac:dyDescent="0.25"/>
    <row r="429" s="2" customFormat="1" ht="57.6" customHeight="1" x14ac:dyDescent="0.25"/>
    <row r="430" s="2" customFormat="1" ht="57.6" customHeight="1" x14ac:dyDescent="0.25"/>
    <row r="431" s="2" customFormat="1" ht="57.6" customHeight="1" x14ac:dyDescent="0.25"/>
    <row r="432" s="2" customFormat="1" ht="57.6" customHeight="1" x14ac:dyDescent="0.25"/>
    <row r="433" s="2" customFormat="1" ht="57.6" customHeight="1" x14ac:dyDescent="0.25"/>
    <row r="434" s="2" customFormat="1" ht="57.6" customHeight="1" x14ac:dyDescent="0.25"/>
    <row r="435" s="2" customFormat="1" ht="57.6" customHeight="1" x14ac:dyDescent="0.25"/>
    <row r="436" s="2" customFormat="1" ht="57.6" customHeight="1" x14ac:dyDescent="0.25"/>
    <row r="437" s="2" customFormat="1" ht="57.6" customHeight="1" x14ac:dyDescent="0.25"/>
    <row r="438" s="2" customFormat="1" ht="57.6" customHeight="1" x14ac:dyDescent="0.25"/>
    <row r="439" s="2" customFormat="1" ht="57.6" customHeight="1" x14ac:dyDescent="0.25"/>
    <row r="440" s="2" customFormat="1" ht="57.6" customHeight="1" x14ac:dyDescent="0.25"/>
    <row r="441" s="2" customFormat="1" ht="57.6" customHeight="1" x14ac:dyDescent="0.25"/>
    <row r="442" s="2" customFormat="1" ht="57.6" customHeight="1" x14ac:dyDescent="0.25"/>
    <row r="443" s="2" customFormat="1" ht="57.6" customHeight="1" x14ac:dyDescent="0.25"/>
    <row r="444" s="2" customFormat="1" ht="57.6" customHeight="1" x14ac:dyDescent="0.25"/>
    <row r="445" s="2" customFormat="1" ht="57.6" customHeight="1" x14ac:dyDescent="0.25"/>
    <row r="446" s="2" customFormat="1" ht="57.6" customHeight="1" x14ac:dyDescent="0.25"/>
    <row r="447" s="2" customFormat="1" ht="57.6" customHeight="1" x14ac:dyDescent="0.25"/>
    <row r="448" s="2" customFormat="1" ht="57.6" customHeight="1" x14ac:dyDescent="0.25"/>
    <row r="449" s="2" customFormat="1" ht="57.6" customHeight="1" x14ac:dyDescent="0.25"/>
    <row r="450" s="2" customFormat="1" ht="57.6" customHeight="1" x14ac:dyDescent="0.25"/>
    <row r="451" s="2" customFormat="1" ht="57.6" customHeight="1" x14ac:dyDescent="0.25"/>
    <row r="452" s="2" customFormat="1" ht="57.6" customHeight="1" x14ac:dyDescent="0.25"/>
    <row r="453" s="2" customFormat="1" ht="57.6" customHeight="1" x14ac:dyDescent="0.25"/>
    <row r="454" s="2" customFormat="1" ht="57.6" customHeight="1" x14ac:dyDescent="0.25"/>
    <row r="455" s="2" customFormat="1" ht="57.6" customHeight="1" x14ac:dyDescent="0.25"/>
    <row r="456" s="2" customFormat="1" ht="57.6" customHeight="1" x14ac:dyDescent="0.25"/>
    <row r="457" s="2" customFormat="1" ht="57.6" customHeight="1" x14ac:dyDescent="0.25"/>
    <row r="458" s="2" customFormat="1" ht="57.6" customHeight="1" x14ac:dyDescent="0.25"/>
    <row r="459" s="2" customFormat="1" ht="57.6" customHeight="1" x14ac:dyDescent="0.25"/>
    <row r="460" s="2" customFormat="1" ht="57.6" customHeight="1" x14ac:dyDescent="0.25"/>
    <row r="461" s="2" customFormat="1" ht="57.6" customHeight="1" x14ac:dyDescent="0.25"/>
    <row r="462" s="2" customFormat="1" ht="57.6" customHeight="1" x14ac:dyDescent="0.25"/>
    <row r="463" s="2" customFormat="1" ht="57.6" customHeight="1" x14ac:dyDescent="0.25"/>
    <row r="464" s="2" customFormat="1" ht="57.6" customHeight="1" x14ac:dyDescent="0.25"/>
    <row r="465" s="2" customFormat="1" ht="57.6" customHeight="1" x14ac:dyDescent="0.25"/>
    <row r="466" s="2" customFormat="1" ht="57.6" customHeight="1" x14ac:dyDescent="0.25"/>
    <row r="467" s="2" customFormat="1" ht="57.6" customHeight="1" x14ac:dyDescent="0.25"/>
    <row r="468" s="2" customFormat="1" ht="57.6" customHeight="1" x14ac:dyDescent="0.25"/>
    <row r="469" s="2" customFormat="1" ht="57.6" customHeight="1" x14ac:dyDescent="0.25"/>
    <row r="470" s="2" customFormat="1" ht="57.6" customHeight="1" x14ac:dyDescent="0.25"/>
    <row r="471" s="2" customFormat="1" ht="57.6" customHeight="1" x14ac:dyDescent="0.25"/>
    <row r="472" s="2" customFormat="1" ht="57.6" customHeight="1" x14ac:dyDescent="0.25"/>
    <row r="473" s="2" customFormat="1" ht="57.6" customHeight="1" x14ac:dyDescent="0.25"/>
    <row r="474" s="2" customFormat="1" ht="57.6" customHeight="1" x14ac:dyDescent="0.25"/>
    <row r="475" s="2" customFormat="1" ht="57.6" customHeight="1" x14ac:dyDescent="0.25"/>
    <row r="476" s="2" customFormat="1" ht="57.6" customHeight="1" x14ac:dyDescent="0.25"/>
    <row r="477" s="2" customFormat="1" ht="57.6" customHeight="1" x14ac:dyDescent="0.25"/>
    <row r="478" s="2" customFormat="1" ht="57.6" customHeight="1" x14ac:dyDescent="0.25"/>
    <row r="479" s="2" customFormat="1" ht="57.6" customHeight="1" x14ac:dyDescent="0.25"/>
    <row r="480" s="2" customFormat="1" ht="57.6" customHeight="1" x14ac:dyDescent="0.25"/>
    <row r="481" s="2" customFormat="1" ht="57.6" customHeight="1" x14ac:dyDescent="0.25"/>
    <row r="482" s="2" customFormat="1" ht="57.6" customHeight="1" x14ac:dyDescent="0.25"/>
    <row r="483" s="2" customFormat="1" ht="57.6" customHeight="1" x14ac:dyDescent="0.25"/>
    <row r="484" s="2" customFormat="1" ht="57.6" customHeight="1" x14ac:dyDescent="0.25"/>
    <row r="485" s="2" customFormat="1" ht="57.6" customHeight="1" x14ac:dyDescent="0.25"/>
    <row r="486" s="2" customFormat="1" ht="57.6" customHeight="1" x14ac:dyDescent="0.25"/>
    <row r="487" s="2" customFormat="1" ht="57.6" customHeight="1" x14ac:dyDescent="0.25"/>
    <row r="488" s="2" customFormat="1" ht="57.6" customHeight="1" x14ac:dyDescent="0.25"/>
    <row r="489" s="2" customFormat="1" ht="57.6" customHeight="1" x14ac:dyDescent="0.25"/>
    <row r="490" s="2" customFormat="1" ht="57.6" customHeight="1" x14ac:dyDescent="0.25"/>
    <row r="491" s="2" customFormat="1" ht="57.6" customHeight="1" x14ac:dyDescent="0.25"/>
    <row r="492" s="2" customFormat="1" ht="57.6" customHeight="1" x14ac:dyDescent="0.25"/>
    <row r="493" s="2" customFormat="1" ht="57.6" customHeight="1" x14ac:dyDescent="0.25"/>
    <row r="494" s="2" customFormat="1" ht="57.6" customHeight="1" x14ac:dyDescent="0.25"/>
    <row r="495" s="2" customFormat="1" ht="57.6" customHeight="1" x14ac:dyDescent="0.25"/>
    <row r="496" s="2" customFormat="1" ht="57.6" customHeight="1" x14ac:dyDescent="0.25"/>
    <row r="497" s="2" customFormat="1" ht="57.6" customHeight="1" x14ac:dyDescent="0.25"/>
    <row r="498" s="2" customFormat="1" ht="57.6" customHeight="1" x14ac:dyDescent="0.25"/>
    <row r="499" s="2" customFormat="1" ht="57.6" customHeight="1" x14ac:dyDescent="0.25"/>
    <row r="500" s="2" customFormat="1" ht="57.6" customHeight="1" x14ac:dyDescent="0.25"/>
    <row r="501" s="2" customFormat="1" ht="57.6" customHeight="1" x14ac:dyDescent="0.25"/>
    <row r="502" s="2" customFormat="1" ht="57.6" customHeight="1" x14ac:dyDescent="0.25"/>
    <row r="503" s="2" customFormat="1" ht="57.6" customHeight="1" x14ac:dyDescent="0.25"/>
    <row r="504" s="2" customFormat="1" ht="57.6" customHeight="1" x14ac:dyDescent="0.25"/>
    <row r="505" s="2" customFormat="1" ht="57.6" customHeight="1" x14ac:dyDescent="0.25"/>
    <row r="506" s="2" customFormat="1" ht="57.6" customHeight="1" x14ac:dyDescent="0.25"/>
    <row r="507" s="2" customFormat="1" ht="57.6" customHeight="1" x14ac:dyDescent="0.25"/>
    <row r="508" s="2" customFormat="1" ht="57.6" customHeight="1" x14ac:dyDescent="0.25"/>
    <row r="509" s="2" customFormat="1" ht="57.6" customHeight="1" x14ac:dyDescent="0.25"/>
    <row r="510" s="2" customFormat="1" ht="57.6" customHeight="1" x14ac:dyDescent="0.25"/>
    <row r="511" s="2" customFormat="1" ht="57.6" customHeight="1" x14ac:dyDescent="0.25"/>
    <row r="512" s="2" customFormat="1" ht="57.6" customHeight="1" x14ac:dyDescent="0.25"/>
    <row r="513" s="2" customFormat="1" ht="57.6" customHeight="1" x14ac:dyDescent="0.25"/>
    <row r="514" s="2" customFormat="1" ht="57.6" customHeight="1" x14ac:dyDescent="0.25"/>
    <row r="515" s="2" customFormat="1" ht="57.6" customHeight="1" x14ac:dyDescent="0.25"/>
    <row r="516" s="2" customFormat="1" ht="57.6" customHeight="1" x14ac:dyDescent="0.25"/>
    <row r="517" s="2" customFormat="1" ht="57.6" customHeight="1" x14ac:dyDescent="0.25"/>
    <row r="518" s="2" customFormat="1" ht="57.6" customHeight="1" x14ac:dyDescent="0.25"/>
    <row r="519" s="2" customFormat="1" ht="57.6" customHeight="1" x14ac:dyDescent="0.25"/>
    <row r="520" s="2" customFormat="1" ht="57.6" customHeight="1" x14ac:dyDescent="0.25"/>
    <row r="521" s="2" customFormat="1" ht="57.6" customHeight="1" x14ac:dyDescent="0.25"/>
    <row r="522" s="2" customFormat="1" ht="57.6" customHeight="1" x14ac:dyDescent="0.25"/>
    <row r="523" s="2" customFormat="1" ht="57.6" customHeight="1" x14ac:dyDescent="0.25"/>
    <row r="524" s="2" customFormat="1" ht="57.6" customHeight="1" x14ac:dyDescent="0.25"/>
    <row r="525" s="2" customFormat="1" ht="57.6" customHeight="1" x14ac:dyDescent="0.25"/>
    <row r="526" s="2" customFormat="1" ht="57.6" customHeight="1" x14ac:dyDescent="0.25"/>
    <row r="527" s="2" customFormat="1" ht="57.6" customHeight="1" x14ac:dyDescent="0.25"/>
    <row r="528" s="2" customFormat="1" ht="57.6" customHeight="1" x14ac:dyDescent="0.25"/>
    <row r="529" s="2" customFormat="1" ht="57.6" customHeight="1" x14ac:dyDescent="0.25"/>
    <row r="530" s="2" customFormat="1" ht="57.6" customHeight="1" x14ac:dyDescent="0.25"/>
    <row r="531" s="2" customFormat="1" ht="57.6" customHeight="1" x14ac:dyDescent="0.25"/>
    <row r="532" s="2" customFormat="1" ht="57.6" customHeight="1" x14ac:dyDescent="0.25"/>
    <row r="533" s="2" customFormat="1" ht="57.6" customHeight="1" x14ac:dyDescent="0.25"/>
    <row r="534" s="2" customFormat="1" ht="57.6" customHeight="1" x14ac:dyDescent="0.25"/>
    <row r="535" s="2" customFormat="1" ht="57.6" customHeight="1" x14ac:dyDescent="0.25"/>
    <row r="536" s="2" customFormat="1" ht="57.6" customHeight="1" x14ac:dyDescent="0.25"/>
    <row r="537" s="2" customFormat="1" ht="57.6" customHeight="1" x14ac:dyDescent="0.25"/>
    <row r="538" s="2" customFormat="1" ht="57.6" customHeight="1" x14ac:dyDescent="0.25"/>
    <row r="539" s="2" customFormat="1" ht="57.6" customHeight="1" x14ac:dyDescent="0.25"/>
    <row r="540" s="2" customFormat="1" ht="57.6" customHeight="1" x14ac:dyDescent="0.25"/>
    <row r="541" s="2" customFormat="1" ht="57.6" customHeight="1" x14ac:dyDescent="0.25"/>
    <row r="542" s="2" customFormat="1" ht="57.6" customHeight="1" x14ac:dyDescent="0.25"/>
    <row r="543" s="2" customFormat="1" ht="57.6" customHeight="1" x14ac:dyDescent="0.25"/>
    <row r="544" s="2" customFormat="1" ht="57.6" customHeight="1" x14ac:dyDescent="0.25"/>
    <row r="545" s="2" customFormat="1" ht="57.6" customHeight="1" x14ac:dyDescent="0.25"/>
    <row r="546" s="2" customFormat="1" ht="57.6" customHeight="1" x14ac:dyDescent="0.25"/>
    <row r="547" s="2" customFormat="1" ht="57.6" customHeight="1" x14ac:dyDescent="0.25"/>
    <row r="548" s="2" customFormat="1" ht="57.6" customHeight="1" x14ac:dyDescent="0.25"/>
    <row r="549" s="2" customFormat="1" ht="57.6" customHeight="1" x14ac:dyDescent="0.25"/>
    <row r="550" s="2" customFormat="1" ht="57.6" customHeight="1" x14ac:dyDescent="0.25"/>
    <row r="551" s="2" customFormat="1" ht="57.6" customHeight="1" x14ac:dyDescent="0.25"/>
    <row r="552" s="2" customFormat="1" ht="57.6" customHeight="1" x14ac:dyDescent="0.25"/>
    <row r="553" s="2" customFormat="1" ht="57.6" customHeight="1" x14ac:dyDescent="0.25"/>
    <row r="554" s="2" customFormat="1" ht="57.6" customHeight="1" x14ac:dyDescent="0.25"/>
    <row r="555" s="2" customFormat="1" ht="57.6" customHeight="1" x14ac:dyDescent="0.25"/>
    <row r="556" s="2" customFormat="1" ht="57.6" customHeight="1" x14ac:dyDescent="0.25"/>
    <row r="557" s="2" customFormat="1" ht="57.6" customHeight="1" x14ac:dyDescent="0.25"/>
    <row r="558" s="2" customFormat="1" ht="57.6" customHeight="1" x14ac:dyDescent="0.25"/>
    <row r="559" s="2" customFormat="1" ht="57.6" customHeight="1" x14ac:dyDescent="0.25"/>
    <row r="560" s="2" customFormat="1" ht="57.6" customHeight="1" x14ac:dyDescent="0.25"/>
    <row r="561" s="2" customFormat="1" ht="57.6" customHeight="1" x14ac:dyDescent="0.25"/>
    <row r="562" s="2" customFormat="1" ht="57.6" customHeight="1" x14ac:dyDescent="0.25"/>
    <row r="563" s="2" customFormat="1" ht="57.6" customHeight="1" x14ac:dyDescent="0.25"/>
    <row r="564" s="2" customFormat="1" ht="57.6" customHeight="1" x14ac:dyDescent="0.25"/>
    <row r="565" s="2" customFormat="1" ht="57.6" customHeight="1" x14ac:dyDescent="0.25"/>
    <row r="566" s="2" customFormat="1" ht="57.6" customHeight="1" x14ac:dyDescent="0.25"/>
    <row r="567" s="2" customFormat="1" ht="57.6" customHeight="1" x14ac:dyDescent="0.25"/>
    <row r="568" s="2" customFormat="1" ht="57.6" customHeight="1" x14ac:dyDescent="0.25"/>
    <row r="569" s="2" customFormat="1" ht="57.6" customHeight="1" x14ac:dyDescent="0.25"/>
    <row r="570" s="2" customFormat="1" ht="57.6" customHeight="1" x14ac:dyDescent="0.25"/>
    <row r="571" s="2" customFormat="1" ht="57.6" customHeight="1" x14ac:dyDescent="0.25"/>
    <row r="572" s="2" customFormat="1" ht="57.6" customHeight="1" x14ac:dyDescent="0.25"/>
    <row r="573" s="2" customFormat="1" ht="57.6" customHeight="1" x14ac:dyDescent="0.25"/>
    <row r="574" s="2" customFormat="1" ht="57.6" customHeight="1" x14ac:dyDescent="0.25"/>
    <row r="575" s="2" customFormat="1" ht="57.6" customHeight="1" x14ac:dyDescent="0.25"/>
    <row r="576" s="2" customFormat="1" ht="57.6" customHeight="1" x14ac:dyDescent="0.25"/>
    <row r="577" s="2" customFormat="1" ht="57.6" customHeight="1" x14ac:dyDescent="0.25"/>
    <row r="578" s="2" customFormat="1" ht="57.6" customHeight="1" x14ac:dyDescent="0.25"/>
    <row r="579" s="2" customFormat="1" ht="57.6" customHeight="1" x14ac:dyDescent="0.25"/>
    <row r="580" s="2" customFormat="1" ht="57.6" customHeight="1" x14ac:dyDescent="0.25"/>
    <row r="581" s="2" customFormat="1" ht="57.6" customHeight="1" x14ac:dyDescent="0.25"/>
    <row r="582" s="2" customFormat="1" ht="57.6" customHeight="1" x14ac:dyDescent="0.25"/>
    <row r="583" s="2" customFormat="1" ht="57.6" customHeight="1" x14ac:dyDescent="0.25"/>
    <row r="584" s="2" customFormat="1" ht="57.6" customHeight="1" x14ac:dyDescent="0.25"/>
    <row r="585" s="2" customFormat="1" ht="57.6" customHeight="1" x14ac:dyDescent="0.25"/>
    <row r="586" s="2" customFormat="1" ht="57.6" customHeight="1" x14ac:dyDescent="0.25"/>
    <row r="587" s="2" customFormat="1" ht="57.6" customHeight="1" x14ac:dyDescent="0.25"/>
    <row r="588" s="2" customFormat="1" ht="57.6" customHeight="1" x14ac:dyDescent="0.25"/>
    <row r="589" s="2" customFormat="1" ht="57.6" customHeight="1" x14ac:dyDescent="0.25"/>
    <row r="590" s="2" customFormat="1" ht="57.6" customHeight="1" x14ac:dyDescent="0.25"/>
    <row r="591" s="2" customFormat="1" ht="57.6" customHeight="1" x14ac:dyDescent="0.25"/>
    <row r="592" s="2" customFormat="1" ht="57.6" customHeight="1" x14ac:dyDescent="0.25"/>
    <row r="593" s="2" customFormat="1" ht="57.6" customHeight="1" x14ac:dyDescent="0.25"/>
    <row r="594" s="2" customFormat="1" ht="57.6" customHeight="1" x14ac:dyDescent="0.25"/>
    <row r="595" s="2" customFormat="1" ht="57.6" customHeight="1" x14ac:dyDescent="0.25"/>
    <row r="596" s="2" customFormat="1" ht="57.6" customHeight="1" x14ac:dyDescent="0.25"/>
    <row r="597" s="2" customFormat="1" ht="57.6" customHeight="1" x14ac:dyDescent="0.25"/>
    <row r="598" s="2" customFormat="1" ht="57.6" customHeight="1" x14ac:dyDescent="0.25"/>
    <row r="599" s="2" customFormat="1" ht="57.6" customHeight="1" x14ac:dyDescent="0.25"/>
    <row r="600" s="2" customFormat="1" ht="57.6" customHeight="1" x14ac:dyDescent="0.25"/>
    <row r="601" s="2" customFormat="1" ht="57.6" customHeight="1" x14ac:dyDescent="0.25"/>
    <row r="602" s="2" customFormat="1" ht="57.6" customHeight="1" x14ac:dyDescent="0.25"/>
    <row r="603" s="2" customFormat="1" ht="57.6" customHeight="1" x14ac:dyDescent="0.25"/>
    <row r="604" s="2" customFormat="1" ht="57.6" customHeight="1" x14ac:dyDescent="0.25"/>
    <row r="605" s="2" customFormat="1" ht="57.6" customHeight="1" x14ac:dyDescent="0.25"/>
    <row r="606" s="2" customFormat="1" ht="57.6" customHeight="1" x14ac:dyDescent="0.25"/>
    <row r="607" s="2" customFormat="1" ht="57.6" customHeight="1" x14ac:dyDescent="0.25"/>
    <row r="608" s="2" customFormat="1" ht="57.6" customHeight="1" x14ac:dyDescent="0.25"/>
    <row r="609" s="2" customFormat="1" ht="57.6" customHeight="1" x14ac:dyDescent="0.25"/>
    <row r="610" s="2" customFormat="1" ht="57.6" customHeight="1" x14ac:dyDescent="0.25"/>
    <row r="611" s="2" customFormat="1" ht="57.6" customHeight="1" x14ac:dyDescent="0.25"/>
    <row r="612" s="2" customFormat="1" ht="57.6" customHeight="1" x14ac:dyDescent="0.25"/>
    <row r="613" s="2" customFormat="1" ht="57.6" customHeight="1" x14ac:dyDescent="0.25"/>
    <row r="614" s="2" customFormat="1" ht="57.6" customHeight="1" x14ac:dyDescent="0.25"/>
    <row r="615" s="2" customFormat="1" ht="57.6" customHeight="1" x14ac:dyDescent="0.25"/>
    <row r="616" s="2" customFormat="1" ht="57.6" customHeight="1" x14ac:dyDescent="0.25"/>
    <row r="617" s="2" customFormat="1" ht="57.6" customHeight="1" x14ac:dyDescent="0.25"/>
  </sheetData>
  <mergeCells count="4">
    <mergeCell ref="A3:H3"/>
    <mergeCell ref="A4:H4"/>
    <mergeCell ref="A1:H1"/>
    <mergeCell ref="A2:H2"/>
  </mergeCells>
  <pageMargins left="0.70866141732283472" right="0.70866141732283472" top="0.74803149606299213" bottom="0.74803149606299213" header="0.31496062992125984" footer="0.31496062992125984"/>
  <pageSetup scale="70" orientation="portrait"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FAF7-8D4F-4600-A9D7-F2F4268F9905}">
  <dimension ref="A1"/>
  <sheetViews>
    <sheetView showGridLines="0" workbookViewId="0"/>
  </sheetViews>
  <sheetFormatPr defaultRowHeight="15" x14ac:dyDescent="0.25"/>
  <cols>
    <col min="1" max="16384" width="9.140625" style="21"/>
  </cols>
  <sheetData>
    <row r="1" spans="1:1" ht="18.75" x14ac:dyDescent="0.3">
      <c r="A1" s="22" t="s">
        <v>43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PV for Part 1</vt:lpstr>
      <vt:lpstr>Observations</vt:lpstr>
      <vt:lpstr>'PV for Part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2026-10-04T01:30:10Z</dcterms:created>
  <dcterms:modified xsi:type="dcterms:W3CDTF">2026-10-04T01:30:14Z</dcterms:modified>
</cp:coreProperties>
</file>