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filterPrivacy="1" defaultThemeVersion="166925"/>
  <xr:revisionPtr revIDLastSave="2" documentId="8_{C711798D-E64A-49C4-A6AB-5605AB4D28FA}" xr6:coauthVersionLast="47" xr6:coauthVersionMax="47" xr10:uidLastSave="{C3C1C1C9-F6A7-46C2-A56D-55158D51654F}"/>
  <bookViews>
    <workbookView xWindow="28680" yWindow="-120" windowWidth="29040" windowHeight="16440" xr2:uid="{324EC751-9C60-40DD-8432-DBCA825DD949}"/>
  </bookViews>
  <sheets>
    <sheet name="Model 1" sheetId="5" r:id="rId1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sho" localSheetId="0" hidden="1">1</definedName>
    <definedName name="solver_adj" localSheetId="0" hidden="1">'Model 1'!$B$28:$E$47,'Model 1'!$B$52:$E$52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'Model 1'!$F$52</definedName>
    <definedName name="solver_lhs2" localSheetId="0" hidden="1">'Model 1'!$I$48:$L$48</definedName>
    <definedName name="solver_lhs3" localSheetId="0" hidden="1">'Model 1'!$B$52:$E$52</definedName>
    <definedName name="solver_lhs4" localSheetId="0" hidden="1">'Model 1'!$B$28:$E$47</definedName>
    <definedName name="solver_lhs5" localSheetId="0" hidden="1">'Model 1'!$F$28:$F$47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'Model 1'!$M$53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1</definedName>
    <definedName name="solver_rel3" localSheetId="0" hidden="1">4</definedName>
    <definedName name="solver_rel4" localSheetId="0" hidden="1">5</definedName>
    <definedName name="solver_rel5" localSheetId="0" hidden="1">2</definedName>
    <definedName name="solver_rhs1" localSheetId="0" hidden="1">'Model 1'!$F$9</definedName>
    <definedName name="solver_rhs2" localSheetId="0" hidden="1">'Model 1'!$I$52:$L$52</definedName>
    <definedName name="solver_rhs3" localSheetId="0" hidden="1">"integer"</definedName>
    <definedName name="solver_rhs4" localSheetId="0" hidden="1">"binary"</definedName>
    <definedName name="solver_rhs5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5" l="1"/>
  <c r="E27" i="5"/>
  <c r="L51" i="5" s="1"/>
  <c r="B24" i="5"/>
  <c r="I44" i="5"/>
  <c r="J52" i="5"/>
  <c r="K52" i="5"/>
  <c r="L52" i="5"/>
  <c r="J53" i="5"/>
  <c r="K53" i="5"/>
  <c r="L53" i="5"/>
  <c r="I53" i="5"/>
  <c r="I52" i="5"/>
  <c r="E51" i="5"/>
  <c r="D51" i="5"/>
  <c r="C51" i="5"/>
  <c r="B51" i="5"/>
  <c r="F52" i="5"/>
  <c r="H47" i="5"/>
  <c r="F47" i="5"/>
  <c r="A47" i="5"/>
  <c r="H46" i="5"/>
  <c r="F46" i="5"/>
  <c r="A46" i="5"/>
  <c r="H45" i="5"/>
  <c r="F45" i="5"/>
  <c r="A45" i="5"/>
  <c r="H44" i="5"/>
  <c r="F44" i="5"/>
  <c r="A44" i="5"/>
  <c r="H43" i="5"/>
  <c r="F43" i="5"/>
  <c r="A43" i="5"/>
  <c r="H42" i="5"/>
  <c r="F42" i="5"/>
  <c r="A42" i="5"/>
  <c r="H41" i="5"/>
  <c r="F41" i="5"/>
  <c r="A41" i="5"/>
  <c r="H40" i="5"/>
  <c r="F40" i="5"/>
  <c r="A40" i="5"/>
  <c r="H39" i="5"/>
  <c r="F39" i="5"/>
  <c r="A39" i="5"/>
  <c r="H38" i="5"/>
  <c r="F38" i="5"/>
  <c r="A38" i="5"/>
  <c r="L37" i="5"/>
  <c r="K37" i="5"/>
  <c r="J37" i="5"/>
  <c r="I37" i="5"/>
  <c r="H37" i="5"/>
  <c r="F37" i="5"/>
  <c r="A37" i="5"/>
  <c r="L36" i="5"/>
  <c r="K36" i="5"/>
  <c r="J36" i="5"/>
  <c r="I36" i="5"/>
  <c r="H36" i="5"/>
  <c r="F36" i="5"/>
  <c r="A36" i="5"/>
  <c r="L35" i="5"/>
  <c r="K35" i="5"/>
  <c r="J35" i="5"/>
  <c r="I35" i="5"/>
  <c r="H35" i="5"/>
  <c r="F35" i="5"/>
  <c r="A35" i="5"/>
  <c r="L34" i="5"/>
  <c r="K34" i="5"/>
  <c r="J34" i="5"/>
  <c r="I34" i="5"/>
  <c r="H34" i="5"/>
  <c r="F34" i="5"/>
  <c r="A34" i="5"/>
  <c r="L33" i="5"/>
  <c r="K33" i="5"/>
  <c r="J33" i="5"/>
  <c r="I33" i="5"/>
  <c r="H33" i="5"/>
  <c r="F33" i="5"/>
  <c r="A33" i="5"/>
  <c r="K32" i="5"/>
  <c r="H32" i="5"/>
  <c r="F32" i="5"/>
  <c r="A32" i="5"/>
  <c r="L31" i="5"/>
  <c r="K31" i="5"/>
  <c r="J31" i="5"/>
  <c r="I31" i="5"/>
  <c r="H31" i="5"/>
  <c r="F31" i="5"/>
  <c r="A31" i="5"/>
  <c r="L30" i="5"/>
  <c r="K30" i="5"/>
  <c r="J30" i="5"/>
  <c r="I30" i="5"/>
  <c r="H30" i="5"/>
  <c r="F30" i="5"/>
  <c r="A30" i="5"/>
  <c r="L29" i="5"/>
  <c r="K29" i="5"/>
  <c r="J29" i="5"/>
  <c r="I29" i="5"/>
  <c r="H29" i="5"/>
  <c r="F29" i="5"/>
  <c r="A29" i="5"/>
  <c r="L28" i="5"/>
  <c r="K28" i="5"/>
  <c r="J28" i="5"/>
  <c r="I28" i="5"/>
  <c r="H28" i="5"/>
  <c r="F28" i="5"/>
  <c r="A28" i="5"/>
  <c r="L27" i="5"/>
  <c r="K27" i="5"/>
  <c r="J27" i="5"/>
  <c r="I27" i="5"/>
  <c r="D27" i="5"/>
  <c r="K51" i="5" s="1"/>
  <c r="C27" i="5"/>
  <c r="J51" i="5" s="1"/>
  <c r="B27" i="5"/>
  <c r="I51" i="5" s="1"/>
  <c r="G7" i="5"/>
  <c r="F7" i="5"/>
  <c r="E7" i="5"/>
  <c r="L44" i="5" l="1"/>
  <c r="K44" i="5"/>
  <c r="J44" i="5"/>
  <c r="L45" i="5"/>
  <c r="K45" i="5"/>
  <c r="J45" i="5"/>
  <c r="I45" i="5"/>
  <c r="L46" i="5"/>
  <c r="K46" i="5"/>
  <c r="J46" i="5"/>
  <c r="I46" i="5"/>
  <c r="L47" i="5"/>
  <c r="K47" i="5"/>
  <c r="J47" i="5"/>
  <c r="I47" i="5"/>
  <c r="J38" i="5"/>
  <c r="K38" i="5"/>
  <c r="I38" i="5"/>
  <c r="L38" i="5"/>
  <c r="K39" i="5"/>
  <c r="I39" i="5"/>
  <c r="J39" i="5"/>
  <c r="L39" i="5"/>
  <c r="L43" i="5"/>
  <c r="K43" i="5"/>
  <c r="J43" i="5"/>
  <c r="I43" i="5"/>
  <c r="L40" i="5"/>
  <c r="K40" i="5"/>
  <c r="J40" i="5"/>
  <c r="I40" i="5"/>
  <c r="L41" i="5"/>
  <c r="K41" i="5"/>
  <c r="J41" i="5"/>
  <c r="I41" i="5"/>
  <c r="J42" i="5"/>
  <c r="I42" i="5"/>
  <c r="L42" i="5"/>
  <c r="K42" i="5"/>
  <c r="L32" i="5"/>
  <c r="J32" i="5"/>
  <c r="I32" i="5"/>
  <c r="M35" i="5"/>
  <c r="M34" i="5"/>
  <c r="M33" i="5"/>
  <c r="M31" i="5"/>
  <c r="M37" i="5"/>
  <c r="M29" i="5"/>
  <c r="M36" i="5"/>
  <c r="M30" i="5"/>
  <c r="M53" i="5"/>
  <c r="M28" i="5"/>
  <c r="M44" i="5" l="1"/>
  <c r="M46" i="5"/>
  <c r="M41" i="5"/>
  <c r="M40" i="5"/>
  <c r="M45" i="5"/>
  <c r="M39" i="5"/>
  <c r="M38" i="5"/>
  <c r="M42" i="5"/>
  <c r="M47" i="5"/>
  <c r="L48" i="5"/>
  <c r="M43" i="5"/>
  <c r="K48" i="5"/>
  <c r="J48" i="5"/>
  <c r="I48" i="5"/>
  <c r="M32" i="5"/>
  <c r="M52" i="5"/>
  <c r="M48" i="5" l="1"/>
</calcChain>
</file>

<file path=xl/sharedStrings.xml><?xml version="1.0" encoding="utf-8"?>
<sst xmlns="http://schemas.openxmlformats.org/spreadsheetml/2006/main" count="31" uniqueCount="20">
  <si>
    <t>Group</t>
  </si>
  <si>
    <t>A</t>
  </si>
  <si>
    <t>B</t>
  </si>
  <si>
    <t>C</t>
  </si>
  <si>
    <t>D</t>
  </si>
  <si>
    <t>Size</t>
  </si>
  <si>
    <t>Airplane</t>
  </si>
  <si>
    <t>Capacity</t>
  </si>
  <si>
    <t>$/px</t>
  </si>
  <si>
    <t>Cost ($)</t>
  </si>
  <si>
    <t>Total</t>
  </si>
  <si>
    <t>Type of airplane allocated to</t>
  </si>
  <si>
    <t>Allocation of groups to each type of airplane</t>
  </si>
  <si>
    <t>Allocate groups to airplanes</t>
  </si>
  <si>
    <t>Type</t>
  </si>
  <si>
    <t>Count</t>
  </si>
  <si>
    <t>Number airplanes</t>
  </si>
  <si>
    <t>required</t>
  </si>
  <si>
    <t>Count of each airplane type</t>
  </si>
  <si>
    <t>Summary of costs and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</si>
</sst>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#,##0;\-#,##0;\-"/>
    <numFmt numFmtId="172" formatCode="#,##0.00;\-#,##0.00;\-"/>
  </numFmts>
  <fonts count="16" x14ac:knownFonts="1">
    <font>
      <sz val="11"/>
      <color theme="1"/>
      <name val="Aptos"/>
      <family val="2"/>
    </font>
    <font>
      <sz val="11"/>
      <color rgb="FF3F3F76"/>
      <name val="Calibri Light"/>
      <family val="2"/>
    </font>
    <font>
      <sz val="11"/>
      <color rgb="FFFF0000"/>
      <name val="Calibri Light"/>
      <family val="2"/>
    </font>
    <font>
      <u/>
      <sz val="16"/>
      <color theme="1"/>
      <name val="Aptos SemiBold"/>
      <family val="2"/>
    </font>
    <font>
      <sz val="12"/>
      <name val="Aptos SemiBold"/>
      <family val="2"/>
    </font>
    <font>
      <sz val="11"/>
      <color theme="4" tint="-0.24994659260841701"/>
      <name val="Aptos"/>
      <family val="2"/>
    </font>
    <font>
      <sz val="11"/>
      <color theme="5" tint="-0.24994659260841701"/>
      <name val="Aptos"/>
      <family val="2"/>
    </font>
    <font>
      <sz val="11"/>
      <color theme="9"/>
      <name val="Aptos"/>
      <family val="2"/>
    </font>
    <font>
      <sz val="11"/>
      <color rgb="FFFF0000"/>
      <name val="Aptos"/>
      <family val="2"/>
    </font>
    <font>
      <sz val="11"/>
      <color rgb="FF9C0006"/>
      <name val="Aptos"/>
      <family val="2"/>
    </font>
    <font>
      <sz val="11"/>
      <color rgb="FF006100"/>
      <name val="Aptos"/>
      <family val="2"/>
    </font>
    <font>
      <sz val="11"/>
      <color rgb="FF9C5700"/>
      <name val="Aptos"/>
      <family val="2"/>
    </font>
    <font>
      <sz val="11"/>
      <name val="Aptos SemiBold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u/>
      <sz val="14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1" fillId="2" borderId="0" applyNumberFormat="0" applyAlignment="0" applyProtection="0"/>
    <xf numFmtId="0" fontId="8" fillId="3" borderId="0" applyNumberFormat="0" applyBorder="0" applyAlignment="0"/>
    <xf numFmtId="0" fontId="7" fillId="0" borderId="0" applyNumberFormat="0" applyFill="0" applyBorder="0" applyAlignment="0"/>
    <xf numFmtId="0" fontId="2" fillId="0" borderId="0" applyNumberFormat="0" applyFill="0" applyBorder="0" applyAlignment="0" applyProtection="0"/>
    <xf numFmtId="0" fontId="5" fillId="2" borderId="0"/>
    <xf numFmtId="0" fontId="6" fillId="4" borderId="0"/>
    <xf numFmtId="0" fontId="12" fillId="0" borderId="0" applyNumberFormat="0" applyFill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11" fillId="7" borderId="0" applyNumberFormat="0" applyBorder="0" applyAlignment="0" applyProtection="0"/>
    <xf numFmtId="0" fontId="14" fillId="0" borderId="0"/>
  </cellStyleXfs>
  <cellXfs count="24">
    <xf numFmtId="0" fontId="0" fillId="0" borderId="0" xfId="0"/>
    <xf numFmtId="0" fontId="14" fillId="0" borderId="0" xfId="13"/>
    <xf numFmtId="0" fontId="13" fillId="0" borderId="0" xfId="13" applyFont="1"/>
    <xf numFmtId="170" fontId="5" fillId="2" borderId="0" xfId="7" applyNumberFormat="1" applyFont="1"/>
    <xf numFmtId="170" fontId="13" fillId="0" borderId="0" xfId="13" applyNumberFormat="1" applyFont="1"/>
    <xf numFmtId="0" fontId="13" fillId="0" borderId="1" xfId="13" applyFont="1" applyBorder="1" applyAlignment="1">
      <alignment horizontal="right"/>
    </xf>
    <xf numFmtId="0" fontId="13" fillId="0" borderId="1" xfId="13" applyFont="1" applyBorder="1"/>
    <xf numFmtId="170" fontId="8" fillId="3" borderId="0" xfId="4" applyNumberFormat="1"/>
    <xf numFmtId="0" fontId="13" fillId="0" borderId="0" xfId="13" applyFont="1" applyBorder="1"/>
    <xf numFmtId="0" fontId="14" fillId="0" borderId="1" xfId="13" applyBorder="1" applyAlignment="1">
      <alignment horizontal="right"/>
    </xf>
    <xf numFmtId="0" fontId="13" fillId="0" borderId="3" xfId="13" applyFont="1" applyBorder="1" applyAlignment="1">
      <alignment horizontal="right"/>
    </xf>
    <xf numFmtId="170" fontId="13" fillId="0" borderId="2" xfId="13" applyNumberFormat="1" applyFont="1" applyBorder="1"/>
    <xf numFmtId="0" fontId="13" fillId="0" borderId="5" xfId="13" applyFont="1" applyBorder="1" applyAlignment="1">
      <alignment horizontal="right"/>
    </xf>
    <xf numFmtId="170" fontId="13" fillId="0" borderId="4" xfId="13" applyNumberFormat="1" applyFont="1" applyBorder="1"/>
    <xf numFmtId="0" fontId="13" fillId="0" borderId="4" xfId="13" applyFont="1" applyBorder="1"/>
    <xf numFmtId="170" fontId="5" fillId="2" borderId="0" xfId="7" applyNumberFormat="1" applyFont="1" applyBorder="1"/>
    <xf numFmtId="170" fontId="13" fillId="0" borderId="0" xfId="13" applyNumberFormat="1" applyFont="1" applyBorder="1"/>
    <xf numFmtId="0" fontId="13" fillId="0" borderId="0" xfId="13" applyFont="1" applyBorder="1" applyAlignment="1">
      <alignment horizontal="left"/>
    </xf>
    <xf numFmtId="0" fontId="5" fillId="2" borderId="0" xfId="7" applyFont="1" applyBorder="1" applyAlignment="1">
      <alignment horizontal="right"/>
    </xf>
    <xf numFmtId="0" fontId="15" fillId="0" borderId="0" xfId="13" applyFont="1"/>
    <xf numFmtId="172" fontId="13" fillId="0" borderId="0" xfId="13" applyNumberFormat="1" applyFont="1" applyBorder="1"/>
    <xf numFmtId="0" fontId="14" fillId="0" borderId="1" xfId="13" applyBorder="1"/>
    <xf numFmtId="0" fontId="13" fillId="0" borderId="1" xfId="13" applyFont="1" applyBorder="1" applyAlignment="1">
      <alignment horizontal="left"/>
    </xf>
    <xf numFmtId="0" fontId="13" fillId="0" borderId="4" xfId="13" applyFont="1" applyBorder="1" applyAlignment="1">
      <alignment horizontal="right"/>
    </xf>
  </cellXfs>
  <cellStyles count="14">
    <cellStyle name="Bad" xfId="11" builtinId="27" customBuiltin="1"/>
    <cellStyle name="Data" xfId="7" xr:uid="{0B9C1219-112E-4650-9F5E-E2E8E4BF0EE1}"/>
    <cellStyle name="Good" xfId="10" builtinId="26" customBuiltin="1"/>
    <cellStyle name="Heading 1" xfId="1" builtinId="16" customBuiltin="1"/>
    <cellStyle name="Heading 2" xfId="2" builtinId="17" customBuiltin="1"/>
    <cellStyle name="Heading 3" xfId="9" builtinId="18" customBuiltin="1"/>
    <cellStyle name="Inconsistent" xfId="8" xr:uid="{3932D369-2F6E-4613-9C95-0E0E66DE756E}"/>
    <cellStyle name="Input" xfId="3" builtinId="20" hidden="1" customBuiltin="1"/>
    <cellStyle name="Neutral" xfId="12" builtinId="28" customBuiltin="1"/>
    <cellStyle name="Normal" xfId="0" builtinId="0" customBuiltin="1"/>
    <cellStyle name="Normal 2" xfId="13" xr:uid="{01FD4DDF-74E2-4AA0-9B71-4F06C084351A}"/>
    <cellStyle name="Pasted values" xfId="5" xr:uid="{3BF9D861-0884-4A0F-82D7-9DA130B020D5}"/>
    <cellStyle name="Variable" xfId="4" xr:uid="{EED70E62-696F-4A99-9A5C-466BDF62C82E}"/>
    <cellStyle name="Warning Text" xfId="6" builtinId="11" hidden="1"/>
  </cellStyles>
  <dxfs count="0"/>
  <tableStyles count="0" defaultTableStyle="TableStyleMedium2" defaultPivotStyle="PivotStyleLight16"/>
  <colors>
    <mruColors>
      <color rgb="FFFFF0F0"/>
      <color rgb="FFFFE6E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783D-7811-45B1-BE06-ECEC135E3DFA}">
  <dimension ref="A1:M53"/>
  <sheetViews>
    <sheetView showGridLines="0" tabSelected="1" workbookViewId="0">
      <selection activeCell="I8" sqref="I8"/>
    </sheetView>
  </sheetViews>
  <sheetFormatPr defaultRowHeight="15" x14ac:dyDescent="0.25"/>
  <cols>
    <col min="1" max="3" width="7.5" style="1" customWidth="1"/>
    <col min="4" max="4" width="8.125" style="1" customWidth="1"/>
    <col min="5" max="8" width="7.5" style="1" customWidth="1"/>
    <col min="9" max="9" width="8.875" style="1" bestFit="1" customWidth="1"/>
    <col min="10" max="12" width="7.5" style="1" customWidth="1"/>
    <col min="13" max="13" width="8.875" style="1" bestFit="1" customWidth="1"/>
    <col min="14" max="15" width="7.5" style="1" customWidth="1"/>
    <col min="16" max="17" width="7" style="1" customWidth="1"/>
    <col min="18" max="18" width="2.5" style="1" customWidth="1"/>
    <col min="19" max="24" width="7" style="1" customWidth="1"/>
    <col min="25" max="16384" width="9" style="1"/>
  </cols>
  <sheetData>
    <row r="1" spans="1:11" ht="18.75" x14ac:dyDescent="0.3">
      <c r="A1" s="19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I2" s="2"/>
    </row>
    <row r="3" spans="1:11" x14ac:dyDescent="0.25">
      <c r="A3" s="5" t="s">
        <v>0</v>
      </c>
      <c r="B3" s="5" t="s">
        <v>5</v>
      </c>
      <c r="C3" s="2"/>
      <c r="D3" s="2"/>
      <c r="E3" s="22" t="s">
        <v>6</v>
      </c>
      <c r="F3" s="6"/>
      <c r="G3" s="6"/>
      <c r="H3" s="6"/>
      <c r="I3" s="2"/>
    </row>
    <row r="4" spans="1:11" x14ac:dyDescent="0.25">
      <c r="A4" s="3">
        <v>1</v>
      </c>
      <c r="B4" s="3">
        <v>85</v>
      </c>
      <c r="C4" s="2"/>
      <c r="D4" s="1" t="s">
        <v>14</v>
      </c>
      <c r="E4" s="18" t="s">
        <v>1</v>
      </c>
      <c r="F4" s="18" t="s">
        <v>2</v>
      </c>
      <c r="G4" s="18" t="s">
        <v>3</v>
      </c>
      <c r="H4" s="18" t="s">
        <v>4</v>
      </c>
      <c r="I4" s="2"/>
    </row>
    <row r="5" spans="1:11" x14ac:dyDescent="0.25">
      <c r="A5" s="3">
        <v>2</v>
      </c>
      <c r="B5" s="3">
        <v>39</v>
      </c>
      <c r="C5" s="2"/>
      <c r="D5" s="17" t="s">
        <v>7</v>
      </c>
      <c r="E5" s="15">
        <v>2500</v>
      </c>
      <c r="F5" s="15">
        <v>1500</v>
      </c>
      <c r="G5" s="15">
        <v>1000</v>
      </c>
      <c r="H5" s="15">
        <v>100</v>
      </c>
      <c r="I5" s="2"/>
    </row>
    <row r="6" spans="1:11" x14ac:dyDescent="0.25">
      <c r="A6" s="3">
        <v>3</v>
      </c>
      <c r="B6" s="3">
        <v>93</v>
      </c>
      <c r="C6" s="2"/>
      <c r="D6" s="17" t="s">
        <v>9</v>
      </c>
      <c r="E6" s="15">
        <v>30000</v>
      </c>
      <c r="F6" s="15">
        <v>19000</v>
      </c>
      <c r="G6" s="15">
        <v>13000</v>
      </c>
      <c r="H6" s="15">
        <v>3000</v>
      </c>
      <c r="I6" s="2"/>
    </row>
    <row r="7" spans="1:11" x14ac:dyDescent="0.25">
      <c r="A7" s="3">
        <v>4</v>
      </c>
      <c r="B7" s="3">
        <v>98</v>
      </c>
      <c r="C7" s="2"/>
      <c r="D7" s="17" t="s">
        <v>8</v>
      </c>
      <c r="E7" s="20">
        <f>E6/E5</f>
        <v>12</v>
      </c>
      <c r="F7" s="20">
        <f>F6/F5</f>
        <v>12.666666666666666</v>
      </c>
      <c r="G7" s="20">
        <f>G6/G5</f>
        <v>13</v>
      </c>
      <c r="H7" s="20">
        <f>H6/H5</f>
        <v>30</v>
      </c>
      <c r="I7" s="2"/>
    </row>
    <row r="8" spans="1:11" x14ac:dyDescent="0.25">
      <c r="A8" s="3">
        <v>5</v>
      </c>
      <c r="B8" s="3">
        <v>72</v>
      </c>
      <c r="C8" s="2"/>
      <c r="H8" s="2"/>
      <c r="I8" s="2"/>
    </row>
    <row r="9" spans="1:11" x14ac:dyDescent="0.25">
      <c r="A9" s="3">
        <v>6</v>
      </c>
      <c r="B9" s="3">
        <v>932</v>
      </c>
      <c r="C9" s="2"/>
      <c r="D9" s="1" t="s">
        <v>16</v>
      </c>
      <c r="F9" s="15">
        <v>20</v>
      </c>
      <c r="G9" s="1" t="s">
        <v>17</v>
      </c>
      <c r="H9" s="8"/>
      <c r="I9" s="8"/>
    </row>
    <row r="10" spans="1:11" x14ac:dyDescent="0.25">
      <c r="A10" s="3">
        <v>7</v>
      </c>
      <c r="B10" s="3">
        <v>177</v>
      </c>
      <c r="C10" s="2"/>
    </row>
    <row r="11" spans="1:11" x14ac:dyDescent="0.25">
      <c r="A11" s="3">
        <v>8</v>
      </c>
      <c r="B11" s="3">
        <v>196</v>
      </c>
      <c r="C11" s="2"/>
    </row>
    <row r="12" spans="1:11" x14ac:dyDescent="0.25">
      <c r="A12" s="3">
        <v>9</v>
      </c>
      <c r="B12" s="3">
        <v>206</v>
      </c>
      <c r="C12" s="2"/>
    </row>
    <row r="13" spans="1:11" x14ac:dyDescent="0.25">
      <c r="A13" s="3">
        <v>10</v>
      </c>
      <c r="B13" s="3">
        <v>796</v>
      </c>
      <c r="C13" s="2"/>
    </row>
    <row r="14" spans="1:11" x14ac:dyDescent="0.25">
      <c r="A14" s="3">
        <v>11</v>
      </c>
      <c r="B14" s="3">
        <v>539</v>
      </c>
      <c r="C14" s="2"/>
      <c r="D14" s="8"/>
      <c r="E14" s="8"/>
      <c r="F14" s="8"/>
      <c r="G14" s="8"/>
      <c r="H14" s="8"/>
      <c r="I14" s="8"/>
    </row>
    <row r="15" spans="1:11" x14ac:dyDescent="0.25">
      <c r="A15" s="3">
        <v>12</v>
      </c>
      <c r="B15" s="3">
        <v>930</v>
      </c>
      <c r="C15" s="2"/>
      <c r="D15" s="8"/>
      <c r="E15" s="8"/>
      <c r="F15" s="8"/>
      <c r="G15" s="8"/>
      <c r="H15" s="8"/>
      <c r="I15" s="8"/>
    </row>
    <row r="16" spans="1:11" x14ac:dyDescent="0.25">
      <c r="A16" s="3">
        <v>13</v>
      </c>
      <c r="B16" s="3">
        <v>276</v>
      </c>
      <c r="C16" s="2"/>
      <c r="D16" s="2"/>
      <c r="E16" s="2"/>
      <c r="F16" s="2"/>
      <c r="G16" s="2"/>
      <c r="H16" s="2"/>
      <c r="I16" s="2"/>
    </row>
    <row r="17" spans="1:13" x14ac:dyDescent="0.25">
      <c r="A17" s="3">
        <v>14</v>
      </c>
      <c r="B17" s="3">
        <v>962</v>
      </c>
      <c r="C17" s="2"/>
      <c r="D17" s="2"/>
      <c r="E17" s="2"/>
      <c r="F17" s="2"/>
      <c r="G17" s="2"/>
      <c r="H17" s="2"/>
      <c r="I17" s="2"/>
    </row>
    <row r="18" spans="1:13" x14ac:dyDescent="0.25">
      <c r="A18" s="3">
        <v>15</v>
      </c>
      <c r="B18" s="3">
        <v>274</v>
      </c>
      <c r="C18" s="2"/>
      <c r="D18" s="2"/>
      <c r="E18" s="2"/>
      <c r="F18" s="2"/>
      <c r="G18" s="2"/>
      <c r="H18" s="2"/>
      <c r="I18" s="2"/>
    </row>
    <row r="19" spans="1:13" x14ac:dyDescent="0.25">
      <c r="A19" s="3">
        <v>16</v>
      </c>
      <c r="B19" s="3">
        <v>1152</v>
      </c>
      <c r="C19" s="2"/>
      <c r="D19" s="2"/>
      <c r="E19" s="2"/>
      <c r="F19" s="2"/>
      <c r="G19" s="2"/>
      <c r="H19" s="2"/>
      <c r="I19" s="2"/>
    </row>
    <row r="20" spans="1:13" x14ac:dyDescent="0.25">
      <c r="A20" s="3">
        <v>17</v>
      </c>
      <c r="B20" s="3">
        <v>3532</v>
      </c>
      <c r="C20" s="2"/>
      <c r="D20" s="2"/>
      <c r="E20" s="2"/>
      <c r="F20" s="2"/>
      <c r="G20" s="2"/>
      <c r="H20" s="2"/>
      <c r="I20" s="2"/>
    </row>
    <row r="21" spans="1:13" x14ac:dyDescent="0.25">
      <c r="A21" s="3">
        <v>18</v>
      </c>
      <c r="B21" s="3">
        <v>2757</v>
      </c>
      <c r="C21" s="2"/>
      <c r="D21" s="2"/>
      <c r="E21" s="2"/>
      <c r="F21" s="2"/>
      <c r="G21" s="2"/>
      <c r="H21" s="2"/>
      <c r="I21" s="2"/>
    </row>
    <row r="22" spans="1:13" x14ac:dyDescent="0.25">
      <c r="A22" s="3">
        <v>19</v>
      </c>
      <c r="B22" s="3">
        <v>7636</v>
      </c>
      <c r="C22" s="2"/>
      <c r="D22" s="2"/>
      <c r="E22" s="2"/>
      <c r="F22" s="2"/>
      <c r="G22" s="2"/>
      <c r="H22" s="2"/>
      <c r="I22" s="2"/>
    </row>
    <row r="23" spans="1:13" x14ac:dyDescent="0.25">
      <c r="A23" s="3">
        <v>20</v>
      </c>
      <c r="B23" s="3">
        <v>6501</v>
      </c>
      <c r="C23" s="2"/>
      <c r="D23" s="2"/>
      <c r="E23" s="2"/>
      <c r="F23" s="2"/>
      <c r="G23" s="2"/>
      <c r="H23" s="2"/>
      <c r="I23" s="2"/>
    </row>
    <row r="24" spans="1:13" x14ac:dyDescent="0.25">
      <c r="A24" s="23" t="s">
        <v>10</v>
      </c>
      <c r="B24" s="13">
        <f>SUM(B4:B23)</f>
        <v>27253</v>
      </c>
      <c r="C24" s="2"/>
      <c r="D24" s="2"/>
      <c r="E24" s="2"/>
      <c r="F24" s="2"/>
      <c r="G24" s="2"/>
      <c r="H24" s="2"/>
      <c r="I24" s="2"/>
    </row>
    <row r="25" spans="1:13" x14ac:dyDescent="0.25">
      <c r="A25" s="2"/>
      <c r="C25" s="2"/>
      <c r="D25" s="2"/>
      <c r="E25" s="2"/>
      <c r="F25" s="2"/>
      <c r="G25" s="2"/>
      <c r="H25" s="2"/>
      <c r="I25" s="2"/>
    </row>
    <row r="26" spans="1:13" x14ac:dyDescent="0.25">
      <c r="A26" s="2"/>
      <c r="B26" s="17" t="s">
        <v>11</v>
      </c>
      <c r="C26" s="2"/>
      <c r="D26" s="2"/>
      <c r="E26" s="2"/>
      <c r="F26" s="2"/>
      <c r="G26" s="2"/>
      <c r="H26" s="2"/>
      <c r="I26" s="17" t="s">
        <v>12</v>
      </c>
      <c r="J26" s="2"/>
      <c r="K26" s="2"/>
      <c r="L26" s="2"/>
      <c r="M26" s="2"/>
    </row>
    <row r="27" spans="1:13" x14ac:dyDescent="0.25">
      <c r="A27" s="10" t="s">
        <v>0</v>
      </c>
      <c r="B27" s="9" t="str">
        <f>$E4</f>
        <v>A</v>
      </c>
      <c r="C27" s="9" t="str">
        <f>$F4</f>
        <v>B</v>
      </c>
      <c r="D27" s="9" t="str">
        <f>$G4</f>
        <v>C</v>
      </c>
      <c r="E27" s="9" t="str">
        <f>$H4</f>
        <v>D</v>
      </c>
      <c r="F27" s="5" t="s">
        <v>10</v>
      </c>
      <c r="G27" s="2"/>
      <c r="H27" s="10" t="s">
        <v>0</v>
      </c>
      <c r="I27" s="9" t="str">
        <f>$E4</f>
        <v>A</v>
      </c>
      <c r="J27" s="9" t="str">
        <f>$F4</f>
        <v>B</v>
      </c>
      <c r="K27" s="9" t="str">
        <f>$G4</f>
        <v>C</v>
      </c>
      <c r="L27" s="9" t="str">
        <f>$H4</f>
        <v>D</v>
      </c>
      <c r="M27" s="5" t="s">
        <v>10</v>
      </c>
    </row>
    <row r="28" spans="1:13" x14ac:dyDescent="0.25">
      <c r="A28" s="11">
        <f>$A4</f>
        <v>1</v>
      </c>
      <c r="B28" s="7">
        <v>0</v>
      </c>
      <c r="C28" s="7">
        <v>1</v>
      </c>
      <c r="D28" s="7">
        <v>0</v>
      </c>
      <c r="E28" s="7">
        <v>0</v>
      </c>
      <c r="F28" s="4">
        <f>SUM(B28:E28)</f>
        <v>1</v>
      </c>
      <c r="G28" s="2"/>
      <c r="H28" s="11">
        <f>$A4</f>
        <v>1</v>
      </c>
      <c r="I28" s="16">
        <f>B28*$B4</f>
        <v>0</v>
      </c>
      <c r="J28" s="16">
        <f>C28*$B4</f>
        <v>85</v>
      </c>
      <c r="K28" s="16">
        <f>D28*$B4</f>
        <v>0</v>
      </c>
      <c r="L28" s="16">
        <f>E28*$B4</f>
        <v>0</v>
      </c>
      <c r="M28" s="4">
        <f>SUM(I28:L28)</f>
        <v>85</v>
      </c>
    </row>
    <row r="29" spans="1:13" x14ac:dyDescent="0.25">
      <c r="A29" s="11">
        <f>$A5</f>
        <v>2</v>
      </c>
      <c r="B29" s="7">
        <v>0</v>
      </c>
      <c r="C29" s="7">
        <v>1</v>
      </c>
      <c r="D29" s="7">
        <v>0</v>
      </c>
      <c r="E29" s="7">
        <v>0</v>
      </c>
      <c r="F29" s="4">
        <f t="shared" ref="F29:F47" si="0">SUM(B29:E29)</f>
        <v>1</v>
      </c>
      <c r="G29" s="2"/>
      <c r="H29" s="11">
        <f>$A5</f>
        <v>2</v>
      </c>
      <c r="I29" s="16">
        <f>B29*$B5</f>
        <v>0</v>
      </c>
      <c r="J29" s="16">
        <f>C29*$B5</f>
        <v>39</v>
      </c>
      <c r="K29" s="16">
        <f>D29*$B5</f>
        <v>0</v>
      </c>
      <c r="L29" s="16">
        <f>E29*$B5</f>
        <v>0</v>
      </c>
      <c r="M29" s="4">
        <f t="shared" ref="M29:M47" si="1">SUM(I29:L29)</f>
        <v>39</v>
      </c>
    </row>
    <row r="30" spans="1:13" x14ac:dyDescent="0.25">
      <c r="A30" s="11">
        <f>$A6</f>
        <v>3</v>
      </c>
      <c r="B30" s="7">
        <v>1</v>
      </c>
      <c r="C30" s="7">
        <v>0</v>
      </c>
      <c r="D30" s="7">
        <v>0</v>
      </c>
      <c r="E30" s="7">
        <v>0</v>
      </c>
      <c r="F30" s="4">
        <f t="shared" si="0"/>
        <v>1</v>
      </c>
      <c r="G30" s="2"/>
      <c r="H30" s="11">
        <f>$A6</f>
        <v>3</v>
      </c>
      <c r="I30" s="16">
        <f>B30*$B6</f>
        <v>93</v>
      </c>
      <c r="J30" s="16">
        <f>C30*$B6</f>
        <v>0</v>
      </c>
      <c r="K30" s="16">
        <f>D30*$B6</f>
        <v>0</v>
      </c>
      <c r="L30" s="16">
        <f>E30*$B6</f>
        <v>0</v>
      </c>
      <c r="M30" s="4">
        <f t="shared" si="1"/>
        <v>93</v>
      </c>
    </row>
    <row r="31" spans="1:13" x14ac:dyDescent="0.25">
      <c r="A31" s="11">
        <f>$A7</f>
        <v>4</v>
      </c>
      <c r="B31" s="7">
        <v>0</v>
      </c>
      <c r="C31" s="7">
        <v>0</v>
      </c>
      <c r="D31" s="7">
        <v>1</v>
      </c>
      <c r="E31" s="7">
        <v>0</v>
      </c>
      <c r="F31" s="4">
        <f t="shared" si="0"/>
        <v>1</v>
      </c>
      <c r="G31" s="2"/>
      <c r="H31" s="11">
        <f>$A7</f>
        <v>4</v>
      </c>
      <c r="I31" s="16">
        <f>B31*$B7</f>
        <v>0</v>
      </c>
      <c r="J31" s="16">
        <f>C31*$B7</f>
        <v>0</v>
      </c>
      <c r="K31" s="16">
        <f>D31*$B7</f>
        <v>98</v>
      </c>
      <c r="L31" s="16">
        <f>E31*$B7</f>
        <v>0</v>
      </c>
      <c r="M31" s="4">
        <f t="shared" si="1"/>
        <v>98</v>
      </c>
    </row>
    <row r="32" spans="1:13" x14ac:dyDescent="0.25">
      <c r="A32" s="11">
        <f>$A8</f>
        <v>5</v>
      </c>
      <c r="B32" s="7">
        <v>0</v>
      </c>
      <c r="C32" s="7">
        <v>1</v>
      </c>
      <c r="D32" s="7">
        <v>0</v>
      </c>
      <c r="E32" s="7">
        <v>0</v>
      </c>
      <c r="F32" s="4">
        <f t="shared" si="0"/>
        <v>1</v>
      </c>
      <c r="G32" s="2"/>
      <c r="H32" s="11">
        <f>$A8</f>
        <v>5</v>
      </c>
      <c r="I32" s="16">
        <f>B32*$B8</f>
        <v>0</v>
      </c>
      <c r="J32" s="16">
        <f>C32*$B8</f>
        <v>72</v>
      </c>
      <c r="K32" s="16">
        <f>D32*$B8</f>
        <v>0</v>
      </c>
      <c r="L32" s="16">
        <f>E32*$B8</f>
        <v>0</v>
      </c>
      <c r="M32" s="4">
        <f t="shared" si="1"/>
        <v>72</v>
      </c>
    </row>
    <row r="33" spans="1:13" x14ac:dyDescent="0.25">
      <c r="A33" s="11">
        <f>$A9</f>
        <v>6</v>
      </c>
      <c r="B33" s="7">
        <v>0</v>
      </c>
      <c r="C33" s="7">
        <v>0</v>
      </c>
      <c r="D33" s="7">
        <v>1</v>
      </c>
      <c r="E33" s="7">
        <v>0</v>
      </c>
      <c r="F33" s="4">
        <f t="shared" si="0"/>
        <v>1</v>
      </c>
      <c r="G33" s="2"/>
      <c r="H33" s="11">
        <f>$A9</f>
        <v>6</v>
      </c>
      <c r="I33" s="16">
        <f>B33*$B9</f>
        <v>0</v>
      </c>
      <c r="J33" s="16">
        <f>C33*$B9</f>
        <v>0</v>
      </c>
      <c r="K33" s="16">
        <f>D33*$B9</f>
        <v>932</v>
      </c>
      <c r="L33" s="16">
        <f>E33*$B9</f>
        <v>0</v>
      </c>
      <c r="M33" s="4">
        <f t="shared" si="1"/>
        <v>932</v>
      </c>
    </row>
    <row r="34" spans="1:13" x14ac:dyDescent="0.25">
      <c r="A34" s="11">
        <f>$A10</f>
        <v>7</v>
      </c>
      <c r="B34" s="7">
        <v>0</v>
      </c>
      <c r="C34" s="7">
        <v>1</v>
      </c>
      <c r="D34" s="7">
        <v>0</v>
      </c>
      <c r="E34" s="7">
        <v>0</v>
      </c>
      <c r="F34" s="4">
        <f t="shared" si="0"/>
        <v>1</v>
      </c>
      <c r="G34" s="2"/>
      <c r="H34" s="11">
        <f>$A10</f>
        <v>7</v>
      </c>
      <c r="I34" s="16">
        <f>B34*$B10</f>
        <v>0</v>
      </c>
      <c r="J34" s="16">
        <f>C34*$B10</f>
        <v>177</v>
      </c>
      <c r="K34" s="16">
        <f>D34*$B10</f>
        <v>0</v>
      </c>
      <c r="L34" s="16">
        <f>E34*$B10</f>
        <v>0</v>
      </c>
      <c r="M34" s="4">
        <f t="shared" si="1"/>
        <v>177</v>
      </c>
    </row>
    <row r="35" spans="1:13" x14ac:dyDescent="0.25">
      <c r="A35" s="11">
        <f>$A11</f>
        <v>8</v>
      </c>
      <c r="B35" s="7">
        <v>0</v>
      </c>
      <c r="C35" s="7">
        <v>1</v>
      </c>
      <c r="D35" s="7">
        <v>0</v>
      </c>
      <c r="E35" s="7">
        <v>0</v>
      </c>
      <c r="F35" s="4">
        <f t="shared" si="0"/>
        <v>1</v>
      </c>
      <c r="G35" s="2"/>
      <c r="H35" s="11">
        <f>$A11</f>
        <v>8</v>
      </c>
      <c r="I35" s="16">
        <f>B35*$B11</f>
        <v>0</v>
      </c>
      <c r="J35" s="16">
        <f>C35*$B11</f>
        <v>196</v>
      </c>
      <c r="K35" s="16">
        <f>D35*$B11</f>
        <v>0</v>
      </c>
      <c r="L35" s="16">
        <f>E35*$B11</f>
        <v>0</v>
      </c>
      <c r="M35" s="4">
        <f t="shared" si="1"/>
        <v>196</v>
      </c>
    </row>
    <row r="36" spans="1:13" x14ac:dyDescent="0.25">
      <c r="A36" s="11">
        <f>$A12</f>
        <v>9</v>
      </c>
      <c r="B36" s="7">
        <v>0</v>
      </c>
      <c r="C36" s="7">
        <v>1</v>
      </c>
      <c r="D36" s="7">
        <v>0</v>
      </c>
      <c r="E36" s="7">
        <v>0</v>
      </c>
      <c r="F36" s="4">
        <f t="shared" si="0"/>
        <v>1</v>
      </c>
      <c r="G36" s="2"/>
      <c r="H36" s="11">
        <f>$A12</f>
        <v>9</v>
      </c>
      <c r="I36" s="16">
        <f>B36*$B12</f>
        <v>0</v>
      </c>
      <c r="J36" s="16">
        <f>C36*$B12</f>
        <v>206</v>
      </c>
      <c r="K36" s="16">
        <f>D36*$B12</f>
        <v>0</v>
      </c>
      <c r="L36" s="16">
        <f>E36*$B12</f>
        <v>0</v>
      </c>
      <c r="M36" s="4">
        <f t="shared" si="1"/>
        <v>206</v>
      </c>
    </row>
    <row r="37" spans="1:13" x14ac:dyDescent="0.25">
      <c r="A37" s="11">
        <f>$A13</f>
        <v>10</v>
      </c>
      <c r="B37" s="7">
        <v>0</v>
      </c>
      <c r="C37" s="7">
        <v>1</v>
      </c>
      <c r="D37" s="7">
        <v>0</v>
      </c>
      <c r="E37" s="7">
        <v>0</v>
      </c>
      <c r="F37" s="4">
        <f t="shared" si="0"/>
        <v>1</v>
      </c>
      <c r="G37" s="2"/>
      <c r="H37" s="11">
        <f>$A13</f>
        <v>10</v>
      </c>
      <c r="I37" s="16">
        <f>B37*$B13</f>
        <v>0</v>
      </c>
      <c r="J37" s="16">
        <f>C37*$B13</f>
        <v>796</v>
      </c>
      <c r="K37" s="16">
        <f>D37*$B13</f>
        <v>0</v>
      </c>
      <c r="L37" s="16">
        <f>E37*$B13</f>
        <v>0</v>
      </c>
      <c r="M37" s="4">
        <f t="shared" si="1"/>
        <v>796</v>
      </c>
    </row>
    <row r="38" spans="1:13" x14ac:dyDescent="0.25">
      <c r="A38" s="11">
        <f>$A14</f>
        <v>11</v>
      </c>
      <c r="B38" s="7">
        <v>0</v>
      </c>
      <c r="C38" s="7">
        <v>0</v>
      </c>
      <c r="D38" s="7">
        <v>1</v>
      </c>
      <c r="E38" s="7">
        <v>0</v>
      </c>
      <c r="F38" s="4">
        <f t="shared" si="0"/>
        <v>1</v>
      </c>
      <c r="G38" s="2"/>
      <c r="H38" s="11">
        <f>$A14</f>
        <v>11</v>
      </c>
      <c r="I38" s="16">
        <f>B38*$B14</f>
        <v>0</v>
      </c>
      <c r="J38" s="16">
        <f>C38*$B14</f>
        <v>0</v>
      </c>
      <c r="K38" s="16">
        <f>D38*$B14</f>
        <v>539</v>
      </c>
      <c r="L38" s="16">
        <f>E38*$B14</f>
        <v>0</v>
      </c>
      <c r="M38" s="4">
        <f t="shared" si="1"/>
        <v>539</v>
      </c>
    </row>
    <row r="39" spans="1:13" x14ac:dyDescent="0.25">
      <c r="A39" s="11">
        <f>$A15</f>
        <v>12</v>
      </c>
      <c r="B39" s="7">
        <v>0</v>
      </c>
      <c r="C39" s="7">
        <v>0</v>
      </c>
      <c r="D39" s="7">
        <v>1</v>
      </c>
      <c r="E39" s="7">
        <v>0</v>
      </c>
      <c r="F39" s="4">
        <f t="shared" si="0"/>
        <v>1</v>
      </c>
      <c r="G39" s="2"/>
      <c r="H39" s="11">
        <f>$A15</f>
        <v>12</v>
      </c>
      <c r="I39" s="16">
        <f>B39*$B15</f>
        <v>0</v>
      </c>
      <c r="J39" s="16">
        <f>C39*$B15</f>
        <v>0</v>
      </c>
      <c r="K39" s="16">
        <f>D39*$B15</f>
        <v>930</v>
      </c>
      <c r="L39" s="16">
        <f>E39*$B15</f>
        <v>0</v>
      </c>
      <c r="M39" s="4">
        <f t="shared" si="1"/>
        <v>930</v>
      </c>
    </row>
    <row r="40" spans="1:13" x14ac:dyDescent="0.25">
      <c r="A40" s="11">
        <f>$A16</f>
        <v>13</v>
      </c>
      <c r="B40" s="7">
        <v>0</v>
      </c>
      <c r="C40" s="7">
        <v>0</v>
      </c>
      <c r="D40" s="7">
        <v>0</v>
      </c>
      <c r="E40" s="7">
        <v>1</v>
      </c>
      <c r="F40" s="4">
        <f t="shared" si="0"/>
        <v>1</v>
      </c>
      <c r="G40" s="2"/>
      <c r="H40" s="11">
        <f>$A16</f>
        <v>13</v>
      </c>
      <c r="I40" s="16">
        <f>B40*$B16</f>
        <v>0</v>
      </c>
      <c r="J40" s="16">
        <f>C40*$B16</f>
        <v>0</v>
      </c>
      <c r="K40" s="16">
        <f>D40*$B16</f>
        <v>0</v>
      </c>
      <c r="L40" s="16">
        <f>E40*$B16</f>
        <v>276</v>
      </c>
      <c r="M40" s="4">
        <f t="shared" si="1"/>
        <v>276</v>
      </c>
    </row>
    <row r="41" spans="1:13" x14ac:dyDescent="0.25">
      <c r="A41" s="11">
        <f>$A17</f>
        <v>14</v>
      </c>
      <c r="B41" s="7">
        <v>1</v>
      </c>
      <c r="C41" s="7">
        <v>0</v>
      </c>
      <c r="D41" s="7">
        <v>0</v>
      </c>
      <c r="E41" s="7">
        <v>0</v>
      </c>
      <c r="F41" s="4">
        <f t="shared" si="0"/>
        <v>1</v>
      </c>
      <c r="G41" s="2"/>
      <c r="H41" s="11">
        <f>$A17</f>
        <v>14</v>
      </c>
      <c r="I41" s="16">
        <f>B41*$B17</f>
        <v>962</v>
      </c>
      <c r="J41" s="16">
        <f>C41*$B17</f>
        <v>0</v>
      </c>
      <c r="K41" s="16">
        <f>D41*$B17</f>
        <v>0</v>
      </c>
      <c r="L41" s="16">
        <f>E41*$B17</f>
        <v>0</v>
      </c>
      <c r="M41" s="4">
        <f t="shared" si="1"/>
        <v>962</v>
      </c>
    </row>
    <row r="42" spans="1:13" x14ac:dyDescent="0.25">
      <c r="A42" s="11">
        <f>$A18</f>
        <v>15</v>
      </c>
      <c r="B42" s="7">
        <v>0</v>
      </c>
      <c r="C42" s="7">
        <v>1</v>
      </c>
      <c r="D42" s="7">
        <v>0</v>
      </c>
      <c r="E42" s="7">
        <v>0</v>
      </c>
      <c r="F42" s="4">
        <f t="shared" si="0"/>
        <v>1</v>
      </c>
      <c r="G42" s="2"/>
      <c r="H42" s="11">
        <f>$A18</f>
        <v>15</v>
      </c>
      <c r="I42" s="16">
        <f>B42*$B18</f>
        <v>0</v>
      </c>
      <c r="J42" s="16">
        <f>C42*$B18</f>
        <v>274</v>
      </c>
      <c r="K42" s="16">
        <f>D42*$B18</f>
        <v>0</v>
      </c>
      <c r="L42" s="16">
        <f>E42*$B18</f>
        <v>0</v>
      </c>
      <c r="M42" s="4">
        <f t="shared" si="1"/>
        <v>274</v>
      </c>
    </row>
    <row r="43" spans="1:13" x14ac:dyDescent="0.25">
      <c r="A43" s="11">
        <f>$A19</f>
        <v>16</v>
      </c>
      <c r="B43" s="7">
        <v>0</v>
      </c>
      <c r="C43" s="7">
        <v>1</v>
      </c>
      <c r="D43" s="7">
        <v>0</v>
      </c>
      <c r="E43" s="7">
        <v>0</v>
      </c>
      <c r="F43" s="4">
        <f t="shared" si="0"/>
        <v>1</v>
      </c>
      <c r="G43" s="2"/>
      <c r="H43" s="11">
        <f>$A19</f>
        <v>16</v>
      </c>
      <c r="I43" s="16">
        <f>B43*$B19</f>
        <v>0</v>
      </c>
      <c r="J43" s="16">
        <f>C43*$B19</f>
        <v>1152</v>
      </c>
      <c r="K43" s="16">
        <f>D43*$B19</f>
        <v>0</v>
      </c>
      <c r="L43" s="16">
        <f>E43*$B19</f>
        <v>0</v>
      </c>
      <c r="M43" s="4">
        <f t="shared" si="1"/>
        <v>1152</v>
      </c>
    </row>
    <row r="44" spans="1:13" x14ac:dyDescent="0.25">
      <c r="A44" s="11">
        <f>$A20</f>
        <v>17</v>
      </c>
      <c r="B44" s="7">
        <v>1</v>
      </c>
      <c r="C44" s="7">
        <v>0</v>
      </c>
      <c r="D44" s="7">
        <v>0</v>
      </c>
      <c r="E44" s="7">
        <v>0</v>
      </c>
      <c r="F44" s="4">
        <f t="shared" si="0"/>
        <v>1</v>
      </c>
      <c r="G44" s="2"/>
      <c r="H44" s="11">
        <f>$A20</f>
        <v>17</v>
      </c>
      <c r="I44" s="16">
        <f>B44*$B20</f>
        <v>3532</v>
      </c>
      <c r="J44" s="16">
        <f>C44*$B20</f>
        <v>0</v>
      </c>
      <c r="K44" s="16">
        <f>D44*$B20</f>
        <v>0</v>
      </c>
      <c r="L44" s="16">
        <f>E44*$B20</f>
        <v>0</v>
      </c>
      <c r="M44" s="4">
        <f t="shared" si="1"/>
        <v>3532</v>
      </c>
    </row>
    <row r="45" spans="1:13" x14ac:dyDescent="0.25">
      <c r="A45" s="11">
        <f>$A21</f>
        <v>18</v>
      </c>
      <c r="B45" s="7">
        <v>1</v>
      </c>
      <c r="C45" s="7">
        <v>0</v>
      </c>
      <c r="D45" s="7">
        <v>0</v>
      </c>
      <c r="E45" s="7">
        <v>0</v>
      </c>
      <c r="F45" s="4">
        <f t="shared" si="0"/>
        <v>1</v>
      </c>
      <c r="G45" s="2"/>
      <c r="H45" s="11">
        <f>$A21</f>
        <v>18</v>
      </c>
      <c r="I45" s="16">
        <f>B45*$B21</f>
        <v>2757</v>
      </c>
      <c r="J45" s="16">
        <f>C45*$B21</f>
        <v>0</v>
      </c>
      <c r="K45" s="16">
        <f>D45*$B21</f>
        <v>0</v>
      </c>
      <c r="L45" s="16">
        <f>E45*$B21</f>
        <v>0</v>
      </c>
      <c r="M45" s="4">
        <f t="shared" si="1"/>
        <v>2757</v>
      </c>
    </row>
    <row r="46" spans="1:13" x14ac:dyDescent="0.25">
      <c r="A46" s="11">
        <f>$A22</f>
        <v>19</v>
      </c>
      <c r="B46" s="7">
        <v>1</v>
      </c>
      <c r="C46" s="7">
        <v>0</v>
      </c>
      <c r="D46" s="7">
        <v>0</v>
      </c>
      <c r="E46" s="7">
        <v>0</v>
      </c>
      <c r="F46" s="4">
        <f t="shared" si="0"/>
        <v>1</v>
      </c>
      <c r="G46" s="2"/>
      <c r="H46" s="11">
        <f>$A22</f>
        <v>19</v>
      </c>
      <c r="I46" s="16">
        <f>B46*$B22</f>
        <v>7636</v>
      </c>
      <c r="J46" s="16">
        <f>C46*$B22</f>
        <v>0</v>
      </c>
      <c r="K46" s="16">
        <f>D46*$B22</f>
        <v>0</v>
      </c>
      <c r="L46" s="16">
        <f>E46*$B22</f>
        <v>0</v>
      </c>
      <c r="M46" s="4">
        <f t="shared" si="1"/>
        <v>7636</v>
      </c>
    </row>
    <row r="47" spans="1:13" x14ac:dyDescent="0.25">
      <c r="A47" s="11">
        <f>$A23</f>
        <v>20</v>
      </c>
      <c r="B47" s="7">
        <v>0</v>
      </c>
      <c r="C47" s="7">
        <v>0</v>
      </c>
      <c r="D47" s="7">
        <v>1</v>
      </c>
      <c r="E47" s="7">
        <v>0</v>
      </c>
      <c r="F47" s="4">
        <f t="shared" si="0"/>
        <v>1</v>
      </c>
      <c r="G47" s="2"/>
      <c r="H47" s="11">
        <f>$A23</f>
        <v>20</v>
      </c>
      <c r="I47" s="16">
        <f>B47*$B23</f>
        <v>0</v>
      </c>
      <c r="J47" s="16">
        <f>C47*$B23</f>
        <v>0</v>
      </c>
      <c r="K47" s="16">
        <f>D47*$B23</f>
        <v>6501</v>
      </c>
      <c r="L47" s="16">
        <f>E47*$B23</f>
        <v>0</v>
      </c>
      <c r="M47" s="4">
        <f t="shared" si="1"/>
        <v>6501</v>
      </c>
    </row>
    <row r="48" spans="1:13" x14ac:dyDescent="0.25">
      <c r="A48" s="14"/>
      <c r="B48" s="14"/>
      <c r="C48" s="14"/>
      <c r="D48" s="14"/>
      <c r="E48" s="14"/>
      <c r="F48" s="14"/>
      <c r="G48" s="2"/>
      <c r="H48" s="12" t="s">
        <v>10</v>
      </c>
      <c r="I48" s="13">
        <f>SUM(I28:I47)</f>
        <v>14980</v>
      </c>
      <c r="J48" s="13">
        <f t="shared" ref="J48:L48" si="2">SUM(J28:J47)</f>
        <v>2997</v>
      </c>
      <c r="K48" s="13">
        <f t="shared" si="2"/>
        <v>9000</v>
      </c>
      <c r="L48" s="13">
        <f t="shared" si="2"/>
        <v>276</v>
      </c>
      <c r="M48" s="13">
        <f>SUM(I48:L48)</f>
        <v>27253</v>
      </c>
    </row>
    <row r="50" spans="1:13" x14ac:dyDescent="0.25">
      <c r="A50" s="2"/>
      <c r="B50" s="17" t="s">
        <v>18</v>
      </c>
      <c r="C50" s="2"/>
      <c r="D50" s="2"/>
      <c r="E50" s="2"/>
      <c r="F50" s="2"/>
      <c r="G50" s="2"/>
      <c r="H50" s="1" t="s">
        <v>19</v>
      </c>
    </row>
    <row r="51" spans="1:13" x14ac:dyDescent="0.25">
      <c r="A51" s="21" t="s">
        <v>14</v>
      </c>
      <c r="B51" s="9" t="str">
        <f>$E4</f>
        <v>A</v>
      </c>
      <c r="C51" s="9" t="str">
        <f>$F4</f>
        <v>B</v>
      </c>
      <c r="D51" s="9" t="str">
        <f>$G4</f>
        <v>C</v>
      </c>
      <c r="E51" s="9" t="str">
        <f>$H4</f>
        <v>D</v>
      </c>
      <c r="F51" s="5" t="s">
        <v>10</v>
      </c>
      <c r="H51" s="21" t="s">
        <v>14</v>
      </c>
      <c r="I51" s="9" t="str">
        <f>$B27</f>
        <v>A</v>
      </c>
      <c r="J51" s="9" t="str">
        <f>$C27</f>
        <v>B</v>
      </c>
      <c r="K51" s="9" t="str">
        <f>$D27</f>
        <v>C</v>
      </c>
      <c r="L51" s="9" t="str">
        <f>$E27</f>
        <v>D</v>
      </c>
      <c r="M51" s="5" t="s">
        <v>10</v>
      </c>
    </row>
    <row r="52" spans="1:13" x14ac:dyDescent="0.25">
      <c r="A52" s="2" t="s">
        <v>15</v>
      </c>
      <c r="B52" s="7">
        <v>6</v>
      </c>
      <c r="C52" s="7">
        <v>2</v>
      </c>
      <c r="D52" s="7">
        <v>9</v>
      </c>
      <c r="E52" s="7">
        <v>3</v>
      </c>
      <c r="F52" s="4">
        <f t="shared" ref="F52" si="3">SUM(B52:E52)</f>
        <v>20</v>
      </c>
      <c r="H52" s="2" t="s">
        <v>7</v>
      </c>
      <c r="I52" s="16">
        <f>B52*E5</f>
        <v>15000</v>
      </c>
      <c r="J52" s="16">
        <f>C52*F5</f>
        <v>3000</v>
      </c>
      <c r="K52" s="16">
        <f>D52*G5</f>
        <v>9000</v>
      </c>
      <c r="L52" s="16">
        <f>E52*H5</f>
        <v>300</v>
      </c>
      <c r="M52" s="4">
        <f>SUM(I52:L52)</f>
        <v>27300</v>
      </c>
    </row>
    <row r="53" spans="1:13" x14ac:dyDescent="0.25">
      <c r="H53" s="2" t="s">
        <v>9</v>
      </c>
      <c r="I53" s="16">
        <f>B52*E6</f>
        <v>180000</v>
      </c>
      <c r="J53" s="16">
        <f>C52*F6</f>
        <v>38000</v>
      </c>
      <c r="K53" s="16">
        <f>D52*G6</f>
        <v>117000</v>
      </c>
      <c r="L53" s="16">
        <f>E52*H6</f>
        <v>9000</v>
      </c>
      <c r="M53" s="4">
        <f>SUM(I53:L53)</f>
        <v>344000</v>
      </c>
    </row>
  </sheetData>
  <pageMargins left="0.7" right="0.7" top="0.75" bottom="0.75" header="0.3" footer="0.3"/>
  <pageSetup paperSize="2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2026-01-23T21:00:48Z</dcterms:created>
  <dcterms:modified xsi:type="dcterms:W3CDTF">2026-01-23T21:01:10Z</dcterms:modified>
</cp:coreProperties>
</file>